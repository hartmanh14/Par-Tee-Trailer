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7f006bf6f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c475cf36c124778"/>
    <x:sheet xmlns:r="http://schemas.openxmlformats.org/officeDocument/2006/relationships" name="Inputs" sheetId="2" r:id="R9687dddca89e4505"/>
    <x:sheet xmlns:r="http://schemas.openxmlformats.org/officeDocument/2006/relationships" name="Budget" sheetId="3" r:id="R4f15492c4b2d4b37"/>
    <x:sheet xmlns:r="http://schemas.openxmlformats.org/officeDocument/2006/relationships" name="BreakEven" sheetId="4" r:id="Rf6ed3d694531429b"/>
    <x:sheet xmlns:r="http://schemas.openxmlformats.org/officeDocument/2006/relationships" name="CashFlow" sheetId="5" r:id="Rd27424faf3374dfd"/>
    <x:sheet xmlns:r="http://schemas.openxmlformats.org/officeDocument/2006/relationships" name="Sources" sheetId="6" r:id="R2a88137fa0a4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"/>
    <x:numFmt numFmtId="201" formatCode="0"/>
    <x:numFmt numFmtId="202" formatCode="0.0%"/>
    <x:numFmt numFmtId="203" formatCode="yyyy-mm-dd"/>
    <x:numFmt numFmtId="204" formatCode="0.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D9EAD3"/>
      </x:patternFill>
    </x:fill>
    <x:fill>
      <x:patternFill patternType="solid">
        <x:fgColor rgb="FCE4D6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200" fontId="2" fillId="4" borderId="0" xfId="0" applyNumberFormat="1" applyFont="1" applyFill="1" applyBorder="1"/>
    <x:xf numFmtId="200" fontId="2" fillId="4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0386ecc3d46cb" /><Relationship Type="http://schemas.openxmlformats.org/officeDocument/2006/relationships/theme" Target="/xl/theme/theme1.xml" Id="Rccbd40edf61946de" /><Relationship Type="http://schemas.openxmlformats.org/officeDocument/2006/relationships/sharedStrings" Target="/xl/sharedStrings.xml" Id="R71829244f7a14f97" /><Relationship Type="http://schemas.openxmlformats.org/officeDocument/2006/relationships/worksheet" Target="/xl/worksheets/sheet1.xml" Id="Rcc475cf36c124778" /><Relationship Type="http://schemas.openxmlformats.org/officeDocument/2006/relationships/worksheet" Target="/xl/worksheets/sheet2.xml" Id="R9687dddca89e4505" /><Relationship Type="http://schemas.openxmlformats.org/officeDocument/2006/relationships/worksheet" Target="/xl/worksheets/sheet3.xml" Id="R4f15492c4b2d4b37" /><Relationship Type="http://schemas.openxmlformats.org/officeDocument/2006/relationships/worksheet" Target="/xl/worksheets/sheet4.xml" Id="Rf6ed3d694531429b" /><Relationship Type="http://schemas.openxmlformats.org/officeDocument/2006/relationships/worksheet" Target="/xl/worksheets/sheet5.xml" Id="Rd27424faf3374dfd" /><Relationship Type="http://schemas.openxmlformats.org/officeDocument/2006/relationships/worksheet" Target="/xl/worksheets/sheet6.xml" Id="R2a88137fa0a445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b4dcc8ba514c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Scenario Revenue And Operating Profit Drivers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Bookings/wk</c:v>
          </c:tx>
          <c:cat>
            <c:strRef>
              <c:f>'Dashboard'!$A$14:$A$18</c:f>
              <c:strCache>
                <c:ptCount val="0"/>
              </c:strCache>
            </c:strRef>
          </c:cat>
          <c:val>
            <c:numRef>
              <c:f>'Dashboard'!$B$14:$B$18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Avg price</c:v>
          </c:tx>
          <c:cat>
            <c:strRef>
              <c:f>'Dashboard'!$A$14:$A$18</c:f>
              <c:strCache>
                <c:ptCount val="0"/>
              </c:strCache>
            </c:strRef>
          </c:cat>
          <c:val>
            <c:numRef>
              <c:f>'Dashboard'!$C$14:$C$18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Annual revenue</c:v>
          </c:tx>
          <c:cat>
            <c:strRef>
              <c:f>'Dashboard'!$A$14:$A$18</c:f>
              <c:strCache>
                <c:ptCount val="0"/>
              </c:strCache>
            </c:strRef>
          </c:cat>
          <c:val>
            <c:numRef>
              <c:f>'Dashboard'!$D$14:$D$18</c:f>
              <c:numCache>
                <c:formatCode>$#,##0</c:formatCode>
                <c:ptCount val="0"/>
              </c:numCache>
            </c:numRef>
          </c:val>
        </c:ser>
        <c:ser>
          <c:idx val="3"/>
          <c:order val="3"/>
          <c:tx>
            <c:v>Annual op profit</c:v>
          </c:tx>
          <c:cat>
            <c:strRef>
              <c:f>'Dashboard'!$A$14:$A$18</c:f>
              <c:strCache>
                <c:ptCount val="0"/>
              </c:strCache>
            </c:strRef>
          </c:cat>
          <c:val>
            <c:numRef>
              <c:f>'Dashboard'!$E$14:$E$18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b4dcc8ba514c8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8a3bdefa5b45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290000915527344" hidden="0" customWidth="1"/>
    <x:col min="2" max="2" width="20.709999084472656" hidden="0" customWidth="1"/>
    <x:col min="4" max="4" width="30.709999084472656" hidden="0" customWidth="1"/>
    <x:col min="5" max="5" width="20.709999084472656" hidden="0" customWidth="1"/>
  </x:cols>
  <x:sheetData>
    <x:row r="1">
      <x:c r="A1" s="6" t="str">
        <x:v>Triple Play Mobile Entertainment - Lean Budget Dashboard</x:v>
      </x:c>
    </x:row>
    <x:row r="3">
      <x:c r="A3" s="10" t="str">
        <x:v>Metric</x:v>
      </x:c>
      <x:c r="B3" s="10" t="str">
        <x:v>Value</x:v>
      </x:c>
      <x:c r="D3" s="10" t="str">
        <x:v>Output</x:v>
      </x:c>
      <x:c r="E3" s="10" t="str">
        <x:v>Value</x:v>
      </x:c>
    </x:row>
    <x:row r="4">
      <x:c r="A4" t="str">
        <x:v>Startup budget</x:v>
      </x:c>
      <x:c r="B4" s="12" t="n">
        <x:f>Inputs!B5</x:f>
        <x:v>40050</x:v>
      </x:c>
      <x:c r="D4" t="str">
        <x:v>Contribution / booking</x:v>
      </x:c>
      <x:c r="E4" s="12" t="n">
        <x:f>Inputs!B9-Inputs!B10</x:f>
        <x:v>550</x:v>
      </x:c>
    </x:row>
    <x:row r="5">
      <x:c r="A5" t="str">
        <x:v>Capital available</x:v>
      </x:c>
      <x:c r="B5" s="12" t="n">
        <x:f>Inputs!B6</x:f>
        <x:v>20000</x:v>
      </x:c>
      <x:c r="D5" t="str">
        <x:v>Annual contribution</x:v>
      </x:c>
      <x:c r="E5" s="12" t="n">
        <x:f>E4*B11</x:f>
        <x:v>137500</x:v>
      </x:c>
    </x:row>
    <x:row r="6">
      <x:c r="A6" t="str">
        <x:v>Financing needed</x:v>
      </x:c>
      <x:c r="B6" s="12" t="n">
        <x:f>Inputs!B7</x:f>
        <x:v>20050</x:v>
      </x:c>
      <x:c r="D6" t="str">
        <x:v>Annual operating profit</x:v>
      </x:c>
      <x:c r="E6" s="12" t="n">
        <x:f>E5-Inputs!B8</x:f>
        <x:v>113000</x:v>
      </x:c>
    </x:row>
    <x:row r="7">
      <x:c r="A7" t="str">
        <x:v>Annual fixed opex</x:v>
      </x:c>
      <x:c r="B7" s="12" t="n">
        <x:f>Inputs!B8</x:f>
        <x:v>24500</x:v>
      </x:c>
      <x:c r="D7" t="str">
        <x:v>Operating break-even bookings/yr</x:v>
      </x:c>
      <x:c r="E7" s="26" t="n">
        <x:f>ROUNDUP(Inputs!B8/E4,0)</x:f>
        <x:v>45</x:v>
      </x:c>
    </x:row>
    <x:row r="8">
      <x:c r="A8" t="str">
        <x:v>Avg booking price</x:v>
      </x:c>
      <x:c r="B8" s="12" t="n">
        <x:f>Inputs!B9</x:f>
        <x:v>600</x:v>
      </x:c>
      <x:c r="D8" t="str">
        <x:v>Operating break-even bookings/wk</x:v>
      </x:c>
      <x:c r="E8" s="26" t="n">
        <x:f>E7/Inputs!B12</x:f>
        <x:v>0.9</x:v>
      </x:c>
    </x:row>
    <x:row r="9">
      <x:c r="A9" t="str">
        <x:v>Variable cost / booking</x:v>
      </x:c>
      <x:c r="B9" s="12" t="n">
        <x:f>Inputs!B10</x:f>
        <x:v>50</x:v>
      </x:c>
      <x:c r="D9" t="str">
        <x:v>Payback months before debt</x:v>
      </x:c>
      <x:c r="E9" s="26" t="n">
        <x:f>IF(E6&lt;=0,"No payback",Inputs!B5/E6*12)</x:f>
        <x:v>4.253097345132743</x:v>
      </x:c>
    </x:row>
    <x:row r="10">
      <x:c r="A10" t="str">
        <x:v>Bookings / week</x:v>
      </x:c>
      <x:c r="B10" s="14" t="n">
        <x:f>Inputs!B11</x:f>
        <x:v>5</x:v>
      </x:c>
      <x:c r="D10" t="str">
        <x:v>Payback months after debt</x:v>
      </x:c>
      <x:c r="E10" s="26" t="n">
        <x:f>IF(E6-Inputs!B15*12&lt;=0,"No payback",Inputs!B5/(E6-Inputs!B15*12)*12)</x:f>
        <x:v>4.449771754209454</x:v>
      </x:c>
    </x:row>
    <x:row r="11">
      <x:c r="A11" t="str">
        <x:v>Annual bookings</x:v>
      </x:c>
      <x:c r="B11" s="14" t="n">
        <x:f>Inputs!B11*Inputs!B12</x:f>
        <x:v>250</x:v>
      </x:c>
    </x:row>
    <x:row r="13">
      <x:c r="A13" s="10" t="str">
        <x:v>Scenario</x:v>
      </x:c>
      <x:c r="B13" s="10" t="str">
        <x:v>Bookings/wk</x:v>
      </x:c>
      <x:c r="C13" s="10" t="str">
        <x:v>Avg price</x:v>
      </x:c>
      <x:c r="D13" s="10" t="str">
        <x:v>Annual revenue</x:v>
      </x:c>
      <x:c r="E13" s="10" t="str">
        <x:v>Annual op profit</x:v>
      </x:c>
      <x:c r="F13" s="10" t="str">
        <x:v>Payback months</x:v>
      </x:c>
    </x:row>
    <x:row r="14">
      <x:c r="A14" t="str">
        <x:v>Conservative</x:v>
      </x:c>
      <x:c r="B14" s="14" t="n">
        <x:v>3</x:v>
      </x:c>
      <x:c r="C14" s="12" t="n">
        <x:v>500</x:v>
      </x:c>
      <x:c r="D14" s="12" t="n">
        <x:f>B14*Inputs!B12*C14</x:f>
        <x:v>75000</x:v>
      </x:c>
      <x:c r="E14" s="12" t="n">
        <x:f>B14*Inputs!B12*(C14-Inputs!B10)-Inputs!B8</x:f>
        <x:v>43000</x:v>
      </x:c>
      <x:c r="F14" s="26" t="n">
        <x:f>IF(E14&lt;=0,"No payback",Inputs!B5/E14*12)</x:f>
        <x:v>11.176744186046513</x:v>
      </x:c>
    </x:row>
    <x:row r="15">
      <x:c r="A15" t="str">
        <x:v>Base</x:v>
      </x:c>
      <x:c r="B15" s="14" t="n">
        <x:v>5</x:v>
      </x:c>
      <x:c r="C15" s="12" t="n">
        <x:v>600</x:v>
      </x:c>
      <x:c r="D15" s="12" t="n">
        <x:f>B15*Inputs!B12*C15</x:f>
        <x:v>150000</x:v>
      </x:c>
      <x:c r="E15" s="12" t="n">
        <x:f>B15*Inputs!B12*(C15-Inputs!B10)-Inputs!B8</x:f>
        <x:v>113000</x:v>
      </x:c>
      <x:c r="F15" s="26" t="n">
        <x:f>IF(E15&lt;=0,"No payback",Inputs!B5/E15*12)</x:f>
        <x:v>4.253097345132743</x:v>
      </x:c>
    </x:row>
    <x:row r="16">
      <x:c r="A16" t="str">
        <x:v>Strong</x:v>
      </x:c>
      <x:c r="B16" s="14" t="n">
        <x:v>8</x:v>
      </x:c>
      <x:c r="C16" s="12" t="n">
        <x:v>700</x:v>
      </x:c>
      <x:c r="D16" s="12" t="n">
        <x:f>B16*Inputs!B12*C16</x:f>
        <x:v>280000</x:v>
      </x:c>
      <x:c r="E16" s="12" t="n">
        <x:f>B16*Inputs!B12*(C16-Inputs!B10)-Inputs!B8</x:f>
        <x:v>235500</x:v>
      </x:c>
      <x:c r="F16" s="26" t="n">
        <x:f>IF(E16&lt;=0,"No payback",Inputs!B5/E16*12)</x:f>
        <x:v>2.040764331210191</x:v>
      </x:c>
    </x:row>
    <x:row r="17">
      <x:c r="A17" t="str">
        <x:v>Peak</x:v>
      </x:c>
      <x:c r="B17" s="14" t="n">
        <x:v>10</x:v>
      </x:c>
      <x:c r="C17" s="12" t="n">
        <x:v>750</x:v>
      </x:c>
      <x:c r="D17" s="12" t="n">
        <x:f>B17*Inputs!B12*C17</x:f>
        <x:v>375000</x:v>
      </x:c>
      <x:c r="E17" s="12" t="n">
        <x:f>B17*Inputs!B12*(C17-Inputs!B10)-Inputs!B8</x:f>
        <x:v>325500</x:v>
      </x:c>
      <x:c r="F17" s="26" t="n">
        <x:f>IF(E17&lt;=0,"No payback",Inputs!B5/E17*12)</x:f>
        <x:v>1.4764976958525347</x:v>
      </x:c>
    </x:row>
    <x:row r="18">
      <x:c r="A18" t="str">
        <x:v>Corporate-heavy</x:v>
      </x:c>
      <x:c r="B18" s="14" t="n">
        <x:v>5</x:v>
      </x:c>
      <x:c r="C18" s="12" t="n">
        <x:v>850</x:v>
      </x:c>
      <x:c r="D18" s="12" t="n">
        <x:f>B18*Inputs!B12*C18</x:f>
        <x:v>212500</x:v>
      </x:c>
      <x:c r="E18" s="12" t="n">
        <x:f>B18*Inputs!B12*(C18-Inputs!B10)-Inputs!B8</x:f>
        <x:v>175500</x:v>
      </x:c>
      <x:c r="F18" s="26" t="n">
        <x:f>IF(E18&lt;=0,"No payback",Inputs!B5/E18*12)</x:f>
        <x:v>2.7384615384615385</x:v>
      </x:c>
    </x:row>
    <x:row r="20">
      <x:c r="A20" s="30" t="str">
        <x:v>How to use: edit Inputs!B6, B9, B10, and B11 first. The model recalculates annual contribution, operating break-even, and payback months.</x:v>
      </x:c>
    </x:row>
  </x:sheetData>
  <x:mergeCells>
    <x:mergeCell ref="A1:H1"/>
    <x:mergeCell ref="A20:H20"/>
  </x:mergeCells>
  <x:pageMargins left="0.7" right="0.7" top="0.75" bottom="0.75" header="0.3" footer="0.3"/>
  <x:drawing xmlns:r="http://schemas.openxmlformats.org/officeDocument/2006/relationships" r:id="Rd38a3bdefa5b456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56999969482422" hidden="0" customWidth="1"/>
    <x:col min="2" max="2" width="19.290000915527344" hidden="0" customWidth="1"/>
    <x:col min="3" max="3" width="57.86000061035156" hidden="0" customWidth="1"/>
    <x:col min="4" max="4" width="12.140000343322754" hidden="0" customWidth="1"/>
  </x:cols>
  <x:sheetData>
    <x:row r="1">
      <x:c r="A1" s="6" t="str">
        <x:v>Lean Tier Launch Inputs</x:v>
      </x:c>
    </x:row>
    <x:row r="3">
      <x:c r="A3" s="10" t="str">
        <x:v>Input</x:v>
      </x:c>
      <x:c r="B3" s="10" t="str">
        <x:v>Value</x:v>
      </x:c>
      <x:c r="C3" s="10" t="str">
        <x:v>Notes</x:v>
      </x:c>
      <x:c r="D3" s="10" t="str">
        <x:v>Edit?</x:v>
      </x:c>
    </x:row>
    <x:row r="4">
      <x:c r="A4" t="str">
        <x:v>Chosen tier</x:v>
      </x:c>
      <x:c r="B4" t="str">
        <x:v>Lean</x:v>
      </x:c>
      <x:c r="C4" t="str">
        <x:v>Model is built around the Lean budget</x:v>
      </x:c>
      <x:c r="D4" t="str">
        <x:v>Yes</x:v>
      </x:c>
    </x:row>
    <x:row r="5">
      <x:c r="A5" t="str">
        <x:v>Startup budget</x:v>
      </x:c>
      <x:c r="B5" s="12" t="n">
        <x:f>Budget!B24</x:f>
        <x:v>40050</x:v>
      </x:c>
      <x:c r="C5" t="str">
        <x:v>Pulled from Budget sheet Lean total</x:v>
      </x:c>
      <x:c r="D5" t="str">
        <x:v>Formula</x:v>
      </x:c>
    </x:row>
    <x:row r="6">
      <x:c r="A6" t="str">
        <x:v>Capital available</x:v>
      </x:c>
      <x:c r="B6" s="12" t="n">
        <x:v>20000</x:v>
      </x:c>
      <x:c r="C6" t="str">
        <x:v>Owner cash placeholder</x:v>
      </x:c>
      <x:c r="D6" t="str">
        <x:v>Yes</x:v>
      </x:c>
    </x:row>
    <x:row r="7">
      <x:c r="A7" t="str">
        <x:v>Financing needed</x:v>
      </x:c>
      <x:c r="B7" s="12" t="n">
        <x:f>MAX(0,B5-B6)</x:f>
        <x:v>20050</x:v>
      </x:c>
      <x:c r="C7" t="str">
        <x:v>Startup budget less capital available</x:v>
      </x:c>
      <x:c r="D7" t="str">
        <x:v>Formula</x:v>
      </x:c>
    </x:row>
    <x:row r="8">
      <x:c r="A8" t="str">
        <x:v>Annual fixed operating cost</x:v>
      </x:c>
      <x:c r="B8" s="12" t="n">
        <x:f>SUM(B21:B33)</x:f>
        <x:v>24500</x:v>
      </x:c>
      <x:c r="C8" t="str">
        <x:v>Pulled from opex table below</x:v>
      </x:c>
      <x:c r="D8" t="str">
        <x:v>Formula</x:v>
      </x:c>
    </x:row>
    <x:row r="9">
      <x:c r="A9" t="str">
        <x:v>Average booking price</x:v>
      </x:c>
      <x:c r="B9" s="12" t="n">
        <x:v>600</x:v>
      </x:c>
      <x:c r="C9" t="str">
        <x:v>Change this to test pricing</x:v>
      </x:c>
      <x:c r="D9" t="str">
        <x:v>Yes</x:v>
      </x:c>
    </x:row>
    <x:row r="10">
      <x:c r="A10" t="str">
        <x:v>Variable cost per booking</x:v>
      </x:c>
      <x:c r="B10" s="12" t="n">
        <x:v>50</x:v>
      </x:c>
      <x:c r="C10" t="str">
        <x:v>Fuel/supplies/card fees per booking</x:v>
      </x:c>
      <x:c r="D10" t="str">
        <x:v>Yes</x:v>
      </x:c>
    </x:row>
    <x:row r="11">
      <x:c r="A11" t="str">
        <x:v>Bookings per week</x:v>
      </x:c>
      <x:c r="B11" s="14" t="n">
        <x:v>5</x:v>
      </x:c>
      <x:c r="C11" t="str">
        <x:v>Change this to test utilization</x:v>
      </x:c>
      <x:c r="D11" t="str">
        <x:v>Yes</x:v>
      </x:c>
    </x:row>
    <x:row r="12">
      <x:c r="A12" t="str">
        <x:v>Operating weeks per year</x:v>
      </x:c>
      <x:c r="B12" s="14" t="n">
        <x:v>50</x:v>
      </x:c>
      <x:c r="C12" t="str">
        <x:v>Allows downtime/holidays/maintenance</x:v>
      </x:c>
      <x:c r="D12" t="str">
        <x:v>Yes</x:v>
      </x:c>
    </x:row>
    <x:row r="13">
      <x:c r="A13" t="str">
        <x:v>Loan APR</x:v>
      </x:c>
      <x:c r="B13" s="16" t="n">
        <x:v>0.09</x:v>
      </x:c>
      <x:c r="C13" t="str">
        <x:v>Placeholder equipment financing rate</x:v>
      </x:c>
      <x:c r="D13" t="str">
        <x:v>Yes</x:v>
      </x:c>
    </x:row>
    <x:row r="14">
      <x:c r="A14" t="str">
        <x:v>Loan term months</x:v>
      </x:c>
      <x:c r="B14" s="14" t="n">
        <x:v>60</x:v>
      </x:c>
      <x:c r="C14" t="str">
        <x:v>Placeholder financing term</x:v>
      </x:c>
      <x:c r="D14" t="str">
        <x:v>Yes</x:v>
      </x:c>
    </x:row>
    <x:row r="15">
      <x:c r="A15" t="str">
        <x:v>Monthly debt payment</x:v>
      </x:c>
      <x:c r="B15" s="12" t="n">
        <x:f>IF(B7&lt;=0,0,PMT(B13/12,B14,-B7))</x:f>
        <x:v>416.2050222883979</x:v>
      </x:c>
      <x:c r="C15" t="str">
        <x:v>Estimated payment on financing needed</x:v>
      </x:c>
      <x:c r="D15" t="str">
        <x:v>Formula</x:v>
      </x:c>
    </x:row>
    <x:row r="16">
      <x:c r="A16" t="str">
        <x:v>Owner host labor included</x:v>
      </x:c>
      <x:c r="B16" t="str">
        <x:v>No</x:v>
      </x:c>
      <x:c r="C16" t="str">
        <x:v>Host payroll set to $0 in lean opex</x:v>
      </x:c>
      <x:c r="D16" t="str">
        <x:v>Yes</x:v>
      </x:c>
    </x:row>
    <x:row r="17">
      <x:c r="A17" t="str">
        <x:v>Target launch date</x:v>
      </x:c>
      <x:c r="B17" s="18" t="n">
        <x:v>46370</x:v>
      </x:c>
      <x:c r="C17" t="str">
        <x:v>Six-month launch target</x:v>
      </x:c>
      <x:c r="D17" t="str">
        <x:v>Yes</x:v>
      </x:c>
    </x:row>
    <x:row r="20">
      <x:c r="A20" s="10" t="str">
        <x:v>Annual Fixed Opex</x:v>
      </x:c>
      <x:c r="B20" s="10" t="str">
        <x:v>Amount</x:v>
      </x:c>
      <x:c r="C20" s="10" t="str">
        <x:v>Notes</x:v>
      </x:c>
    </x:row>
    <x:row r="21">
      <x:c r="A21" t="str">
        <x:v>Insurance</x:v>
      </x:c>
      <x:c r="B21" s="12" t="n">
        <x:v>4500</x:v>
      </x:c>
      <x:c r="C21" t="str">
        <x:v>Lean estimate; confirm broker quote</x:v>
      </x:c>
    </x:row>
    <x:row r="22">
      <x:c r="A22" t="str">
        <x:v>Generator fuel</x:v>
      </x:c>
      <x:c r="B22" s="12" t="n">
        <x:v>1200</x:v>
      </x:c>
      <x:c r="C22" t="str">
        <x:v>Owner-operator local radius</x:v>
      </x:c>
    </x:row>
    <x:row r="23">
      <x:c r="A23" t="str">
        <x:v>Maintenance, tires, generator service</x:v>
      </x:c>
      <x:c r="B23" s="12" t="n">
        <x:v>2400</x:v>
      </x:c>
      <x:c r="C23" t="str">
        <x:v>Trailer and power reserve</x:v>
      </x:c>
    </x:row>
    <x:row r="24">
      <x:c r="A24" t="str">
        <x:v>Golf software subscription</x:v>
      </x:c>
      <x:c r="B24" s="12" t="n">
        <x:v>600</x:v>
      </x:c>
      <x:c r="C24" t="str">
        <x:v>SkyTrak/Uneekor class assumption</x:v>
      </x:c>
    </x:row>
    <x:row r="25">
      <x:c r="A25" t="str">
        <x:v>Movie public performance license</x:v>
      </x:c>
      <x:c r="B25" s="12" t="n">
        <x:v>800</x:v>
      </x:c>
      <x:c r="C25" t="str">
        <x:v>Placeholder; confirm MPLC/Swank</x:v>
      </x:c>
    </x:row>
    <x:row r="26">
      <x:c r="A26" t="str">
        <x:v>Marketing / marketplace fees</x:v>
      </x:c>
      <x:c r="B26" s="12" t="n">
        <x:v>6000</x:v>
      </x:c>
      <x:c r="C26" t="str">
        <x:v>Lean launch, local SEO, content, paid tests</x:v>
      </x:c>
    </x:row>
    <x:row r="27">
      <x:c r="A27" t="str">
        <x:v>Consumables / concessions</x:v>
      </x:c>
      <x:c r="B27" s="12" t="n">
        <x:v>1800</x:v>
      </x:c>
      <x:c r="C27" t="str">
        <x:v>Direct supplies not tied to booking variable cost</x:v>
      </x:c>
    </x:row>
    <x:row r="28">
      <x:c r="A28" t="str">
        <x:v>Part-time event hosts</x:v>
      </x:c>
      <x:c r="B28" s="12" t="n">
        <x:v>0</x:v>
      </x:c>
      <x:c r="C28" t="str">
        <x:v>Owner-operator in year one</x:v>
      </x:c>
    </x:row>
    <x:row r="29">
      <x:c r="A29" t="str">
        <x:v>Storage / parking</x:v>
      </x:c>
      <x:c r="B29" s="12" t="n">
        <x:v>1800</x:v>
      </x:c>
      <x:c r="C29" t="str">
        <x:v>May be $0 if stored personally</x:v>
      </x:c>
    </x:row>
    <x:row r="30">
      <x:c r="A30" t="str">
        <x:v>Software / booking / accounting</x:v>
      </x:c>
      <x:c r="B30" s="12" t="n">
        <x:v>1200</x:v>
      </x:c>
      <x:c r="C30" t="str">
        <x:v>Website, scheduler, accounting</x:v>
      </x:c>
    </x:row>
    <x:row r="31">
      <x:c r="A31" t="str">
        <x:v>Accounting / legal</x:v>
      </x:c>
      <x:c r="B31" s="12" t="n">
        <x:v>1500</x:v>
      </x:c>
      <x:c r="C31" t="str">
        <x:v>Lean professional support</x:v>
      </x:c>
    </x:row>
    <x:row r="32">
      <x:c r="A32" t="str">
        <x:v>Phone / data / hotspot</x:v>
      </x:c>
      <x:c r="B32" s="12" t="n">
        <x:v>900</x:v>
      </x:c>
      <x:c r="C32" t="str">
        <x:v>Event connectivity</x:v>
      </x:c>
    </x:row>
    <x:row r="33">
      <x:c r="A33" t="str">
        <x:v>Equipment replacement reserve</x:v>
      </x:c>
      <x:c r="B33" s="12" t="n">
        <x:v>1800</x:v>
      </x:c>
      <x:c r="C33" t="str">
        <x:v>Conservative lean reserve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.709999084472656" hidden="0" customWidth="1"/>
    <x:col min="2" max="2" width="16.43000030517578" hidden="0" customWidth="1"/>
    <x:col min="3" max="3" width="16.43000030517578" hidden="0" customWidth="1"/>
    <x:col min="4" max="4" width="16.43000030517578" hidden="0" customWidth="1"/>
    <x:col min="5" max="5" width="16.43000030517578" hidden="0" customWidth="1"/>
  </x:cols>
  <x:sheetData>
    <x:row r="1">
      <x:c r="A1" s="6" t="str">
        <x:v>Startup Budget By Tier</x:v>
      </x:c>
    </x:row>
    <x:row r="3">
      <x:c r="A3" s="10" t="str">
        <x:v>Line item</x:v>
      </x:c>
      <x:c r="B3" s="10" t="str">
        <x:v>Lean</x:v>
      </x:c>
      <x:c r="C3" s="10" t="str">
        <x:v>Mid</x:v>
      </x:c>
      <x:c r="D3" s="10" t="str">
        <x:v>Premium</x:v>
      </x:c>
      <x:c r="E3" s="10" t="str">
        <x:v>Chosen Lean</x:v>
      </x:c>
    </x:row>
    <x:row r="4">
      <x:c r="A4" t="str">
        <x:v>Trailer (used 24ft to new gooseneck 28-32ft)</x:v>
      </x:c>
      <x:c r="B4" s="12" t="n">
        <x:v>4000</x:v>
      </x:c>
      <x:c r="C4" s="12" t="n">
        <x:v>18000</x:v>
      </x:c>
      <x:c r="D4" s="12" t="n">
        <x:v>40000</x:v>
      </x:c>
      <x:c r="E4" s="12" t="n">
        <x:f>B4</x:f>
        <x:v>4000</x:v>
      </x:c>
    </x:row>
    <x:row r="5">
      <x:c r="A5" t="str">
        <x:v>Interior build-out</x:v>
      </x:c>
      <x:c r="B5" s="12" t="n">
        <x:v>2500</x:v>
      </x:c>
      <x:c r="C5" s="12" t="n">
        <x:v>9000</x:v>
      </x:c>
      <x:c r="D5" s="12" t="n">
        <x:v>30000</x:v>
      </x:c>
      <x:c r="E5" s="12" t="n">
        <x:f>B5</x:f>
        <x:v>2500</x:v>
      </x:c>
    </x:row>
    <x:row r="6">
      <x:c r="A6" t="str">
        <x:v>Insulation + climate</x:v>
      </x:c>
      <x:c r="B6" s="12" t="n">
        <x:v>1200</x:v>
      </x:c>
      <x:c r="C6" s="12" t="n">
        <x:v>2500</x:v>
      </x:c>
      <x:c r="D6" s="12" t="n">
        <x:v>5000</x:v>
      </x:c>
      <x:c r="E6" s="12" t="n">
        <x:f>B6</x:f>
        <x:v>1200</x:v>
      </x:c>
    </x:row>
    <x:row r="7">
      <x:c r="A7" t="str">
        <x:v>Electrical</x:v>
      </x:c>
      <x:c r="B7" s="12" t="n">
        <x:v>2800</x:v>
      </x:c>
      <x:c r="C7" s="12" t="n">
        <x:v>5000</x:v>
      </x:c>
      <x:c r="D7" s="12" t="n">
        <x:v>12000</x:v>
      </x:c>
      <x:c r="E7" s="12" t="n">
        <x:f>B7</x:f>
        <x:v>2800</x:v>
      </x:c>
    </x:row>
    <x:row r="8">
      <x:c r="A8" t="str">
        <x:v>Power</x:v>
      </x:c>
      <x:c r="B8" s="12" t="n">
        <x:v>2500</x:v>
      </x:c>
      <x:c r="C8" s="12" t="n">
        <x:v>6000</x:v>
      </x:c>
      <x:c r="D8" s="12" t="n">
        <x:v>12000</x:v>
      </x:c>
      <x:c r="E8" s="12" t="n">
        <x:f>B8</x:f>
        <x:v>2500</x:v>
      </x:c>
    </x:row>
    <x:row r="9">
      <x:c r="A9" t="str">
        <x:v>Golf - launch monitor</x:v>
      </x:c>
      <x:c r="B9" s="12" t="n">
        <x:v>2200</x:v>
      </x:c>
      <x:c r="C9" s="12" t="n">
        <x:v>2750</x:v>
      </x:c>
      <x:c r="D9" s="12" t="n">
        <x:v>22000</x:v>
      </x:c>
      <x:c r="E9" s="12" t="n">
        <x:f>B9</x:f>
        <x:v>2200</x:v>
      </x:c>
    </x:row>
    <x:row r="10">
      <x:c r="A10" t="str">
        <x:v>Golf - mat, screen, PC, bay, software yr 1</x:v>
      </x:c>
      <x:c r="B10" s="12" t="n">
        <x:v>1800</x:v>
      </x:c>
      <x:c r="C10" s="12" t="n">
        <x:v>6000</x:v>
      </x:c>
      <x:c r="D10" s="12" t="n">
        <x:v>9000</x:v>
      </x:c>
      <x:c r="E10" s="12" t="n">
        <x:f>B10</x:f>
        <x:v>1800</x:v>
      </x:c>
    </x:row>
    <x:row r="11">
      <x:c r="A11" t="str">
        <x:v>Movie - projector</x:v>
      </x:c>
      <x:c r="B11" s="12" t="n">
        <x:v>1500</x:v>
      </x:c>
      <x:c r="C11" s="12" t="n">
        <x:v>3000</x:v>
      </x:c>
      <x:c r="D11" s="12" t="n">
        <x:v>10000</x:v>
      </x:c>
      <x:c r="E11" s="12" t="n">
        <x:f>B11</x:f>
        <x:v>1500</x:v>
      </x:c>
    </x:row>
    <x:row r="12">
      <x:c r="A12" t="str">
        <x:v>Movie - screen + sound system</x:v>
      </x:c>
      <x:c r="B12" s="12" t="n">
        <x:v>1200</x:v>
      </x:c>
      <x:c r="C12" s="12" t="n">
        <x:v>3000</x:v>
      </x:c>
      <x:c r="D12" s="12" t="n">
        <x:v>5000</x:v>
      </x:c>
      <x:c r="E12" s="12" t="n">
        <x:f>B12</x:f>
        <x:v>1200</x:v>
      </x:c>
    </x:row>
    <x:row r="13">
      <x:c r="A13" t="str">
        <x:v>Gaming - consoles</x:v>
      </x:c>
      <x:c r="B13" s="12" t="n">
        <x:v>1350</x:v>
      </x:c>
      <x:c r="C13" s="12" t="n">
        <x:v>3000</x:v>
      </x:c>
      <x:c r="D13" s="12" t="n">
        <x:v>5000</x:v>
      </x:c>
      <x:c r="E13" s="12" t="n">
        <x:f>B13</x:f>
        <x:v>1350</x:v>
      </x:c>
    </x:row>
    <x:row r="14">
      <x:c r="A14" t="str">
        <x:v>Gaming - TVs + mounts</x:v>
      </x:c>
      <x:c r="B14" s="12" t="n">
        <x:v>1600</x:v>
      </x:c>
      <x:c r="C14" s="12" t="n">
        <x:v>3500</x:v>
      </x:c>
      <x:c r="D14" s="12" t="n">
        <x:v>7000</x:v>
      </x:c>
      <x:c r="E14" s="12" t="n">
        <x:f>B14</x:f>
        <x:v>1600</x:v>
      </x:c>
    </x:row>
    <x:row r="15">
      <x:c r="A15" t="str">
        <x:v>Gaming - controllers, games, headsets, cables</x:v>
      </x:c>
      <x:c r="B15" s="12" t="n">
        <x:v>1200</x:v>
      </x:c>
      <x:c r="C15" s="12" t="n">
        <x:v>2500</x:v>
      </x:c>
      <x:c r="D15" s="12" t="n">
        <x:v>4000</x:v>
      </x:c>
      <x:c r="E15" s="12" t="n">
        <x:f>B15</x:f>
        <x:v>1200</x:v>
      </x:c>
    </x:row>
    <x:row r="16">
      <x:c r="A16" t="str">
        <x:v>Seating</x:v>
      </x:c>
      <x:c r="B16" s="12" t="n">
        <x:v>1500</x:v>
      </x:c>
      <x:c r="C16" s="12" t="n">
        <x:v>4000</x:v>
      </x:c>
      <x:c r="D16" s="12" t="n">
        <x:v>12000</x:v>
      </x:c>
      <x:c r="E16" s="12" t="n">
        <x:f>B16</x:f>
        <x:v>1500</x:v>
      </x:c>
    </x:row>
    <x:row r="17">
      <x:c r="A17" t="str">
        <x:v>Flooring, finishes, ambient lighting</x:v>
      </x:c>
      <x:c r="B17" s="12" t="n">
        <x:v>1500</x:v>
      </x:c>
      <x:c r="C17" s="12" t="n">
        <x:v>4000</x:v>
      </x:c>
      <x:c r="D17" s="12" t="n">
        <x:v>14000</x:v>
      </x:c>
      <x:c r="E17" s="12" t="n">
        <x:f>B17</x:f>
        <x:v>1500</x:v>
      </x:c>
    </x:row>
    <x:row r="18">
      <x:c r="A18" t="str">
        <x:v>Exterior wrap / branding</x:v>
      </x:c>
      <x:c r="B18" s="12" t="n">
        <x:v>3000</x:v>
      </x:c>
      <x:c r="C18" s="12" t="n">
        <x:v>4500</x:v>
      </x:c>
      <x:c r="D18" s="12" t="n">
        <x:v>7000</x:v>
      </x:c>
      <x:c r="E18" s="12" t="n">
        <x:f>B18</x:f>
        <x:v>3000</x:v>
      </x:c>
    </x:row>
    <x:row r="19">
      <x:c r="A19" t="str">
        <x:v>LLC, permits, licenses, insurance setup</x:v>
      </x:c>
      <x:c r="B19" s="12" t="n">
        <x:v>2500</x:v>
      </x:c>
      <x:c r="C19" s="12" t="n">
        <x:v>4000</x:v>
      </x:c>
      <x:c r="D19" s="12" t="n">
        <x:v>6000</x:v>
      </x:c>
      <x:c r="E19" s="12" t="n">
        <x:f>B19</x:f>
        <x:v>2500</x:v>
      </x:c>
    </x:row>
    <x:row r="20">
      <x:c r="A20" t="str">
        <x:v>Website, booking system, launch marketing</x:v>
      </x:c>
      <x:c r="B20" s="12" t="n">
        <x:v>2500</x:v>
      </x:c>
      <x:c r="C20" s="12" t="n">
        <x:v>5000</x:v>
      </x:c>
      <x:c r="D20" s="12" t="n">
        <x:v>12000</x:v>
      </x:c>
      <x:c r="E20" s="12" t="n">
        <x:f>B20</x:f>
        <x:v>2500</x:v>
      </x:c>
    </x:row>
    <x:row r="21">
      <x:c r="A21" t="str">
        <x:v>Tools, spares kit, safety, exterior</x:v>
      </x:c>
      <x:c r="B21" s="12" t="n">
        <x:v>1200</x:v>
      </x:c>
      <x:c r="C21" s="12" t="n">
        <x:v>2000</x:v>
      </x:c>
      <x:c r="D21" s="12" t="n">
        <x:v>6000</x:v>
      </x:c>
      <x:c r="E21" s="12" t="n">
        <x:f>B21</x:f>
        <x:v>1200</x:v>
      </x:c>
    </x:row>
    <x:row r="22">
      <x:c r="A22" t="str">
        <x:v>Tow vehicle</x:v>
      </x:c>
      <x:c r="B22" s="12" t="n">
        <x:v>0</x:v>
      </x:c>
      <x:c r="C22" s="12" t="n">
        <x:v>20000</x:v>
      </x:c>
      <x:c r="D22" s="12" t="n">
        <x:v>45000</x:v>
      </x:c>
      <x:c r="E22" s="12" t="n">
        <x:f>B22</x:f>
        <x:v>0</x:v>
      </x:c>
    </x:row>
    <x:row r="23">
      <x:c r="A23" t="str">
        <x:v>Contingency</x:v>
      </x:c>
      <x:c r="B23" s="12" t="n">
        <x:v>4000</x:v>
      </x:c>
      <x:c r="C23" s="12" t="n">
        <x:v>11000</x:v>
      </x:c>
      <x:c r="D23" s="12" t="n">
        <x:v>26000</x:v>
      </x:c>
      <x:c r="E23" s="12" t="n">
        <x:f>B23</x:f>
        <x:v>4000</x:v>
      </x:c>
    </x:row>
    <x:row r="24">
      <x:c r="A24" s="22" t="str">
        <x:v>Approximate total</x:v>
      </x:c>
      <x:c r="B24" s="24" t="n">
        <x:f>SUM(B4:B23)</x:f>
        <x:v>40050</x:v>
      </x:c>
      <x:c r="C24" s="24" t="n">
        <x:f>SUM(C4:C23)</x:f>
        <x:v>118750</x:v>
      </x:c>
      <x:c r="D24" s="24" t="n">
        <x:f>SUM(D4:D23)</x:f>
        <x:v>289000</x:v>
      </x:c>
      <x:c r="E24" s="24" t="n">
        <x:f>SUM(E4:E23)</x:f>
        <x:v>40050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999938964844" hidden="0" customWidth="1"/>
    <x:col min="2" max="2" width="12.140000343322754" hidden="0" customWidth="1"/>
    <x:col min="3" max="3" width="12.140000343322754" hidden="0" customWidth="1"/>
    <x:col min="4" max="4" width="12.140000343322754" hidden="0" customWidth="1"/>
    <x:col min="5" max="5" width="12.140000343322754" hidden="0" customWidth="1"/>
    <x:col min="6" max="6" width="12.140000343322754" hidden="0" customWidth="1"/>
    <x:col min="7" max="7" width="12.140000343322754" hidden="0" customWidth="1"/>
    <x:col min="8" max="8" width="12.140000343322754" hidden="0" customWidth="1"/>
    <x:col min="9" max="9" width="12.140000343322754" hidden="0" customWidth="1"/>
    <x:col min="10" max="10" width="12.140000343322754" hidden="0" customWidth="1"/>
    <x:col min="11" max="11" width="12.140000343322754" hidden="0" customWidth="1"/>
  </x:cols>
  <x:sheetData>
    <x:row r="1">
      <x:c r="A1" s="6" t="str">
        <x:v>Payback Sensitivity - Months To Recover Startup Budget</x:v>
      </x:c>
    </x:row>
    <x:row r="3">
      <x:c r="A3" s="10" t="str">
        <x:v>Avg price / Bookings per week</x:v>
      </x:c>
      <x:c r="B3" s="10" t="n">
        <x:v>1</x:v>
      </x:c>
      <x:c r="C3" s="10" t="n">
        <x:v>2</x:v>
      </x:c>
      <x:c r="D3" s="10" t="n">
        <x:v>3</x:v>
      </x:c>
      <x:c r="E3" s="10" t="n">
        <x:v>4</x:v>
      </x:c>
      <x:c r="F3" s="10" t="n">
        <x:v>5</x:v>
      </x:c>
      <x:c r="G3" s="10" t="n">
        <x:v>6</x:v>
      </x:c>
      <x:c r="H3" s="10" t="n">
        <x:v>7</x:v>
      </x:c>
      <x:c r="I3" s="10" t="n">
        <x:v>8</x:v>
      </x:c>
      <x:c r="J3" s="10" t="n">
        <x:v>9</x:v>
      </x:c>
      <x:c r="K3" s="10" t="n">
        <x:v>10</x:v>
      </x:c>
    </x:row>
    <x:row r="4">
      <x:c r="A4" s="12" t="n">
        <x:v>400</x:v>
      </x:c>
      <x:c r="B4" s="26" t="str">
        <x:f>IF((B$3*Inputs!$B$12*($A4-Inputs!$B$10)-Inputs!$B$8)&lt;=0,"No payback",Inputs!$B$5/(B$3*Inputs!$B$12*($A4-Inputs!$B$10)-Inputs!$B$8)*12)</x:f>
        <x:v>No payback</x:v>
      </x:c>
      <x:c r="C4" s="26" t="n">
        <x:f>IF((C$3*Inputs!$B$12*($A4-Inputs!$B$10)-Inputs!$B$8)&lt;=0,"No payback",Inputs!$B$5/(C$3*Inputs!$B$12*($A4-Inputs!$B$10)-Inputs!$B$8)*12)</x:f>
        <x:v>45.77142857142857</x:v>
      </x:c>
      <x:c r="D4" s="26" t="n">
        <x:f>IF((D$3*Inputs!$B$12*($A4-Inputs!$B$10)-Inputs!$B$8)&lt;=0,"No payback",Inputs!$B$5/(D$3*Inputs!$B$12*($A4-Inputs!$B$10)-Inputs!$B$8)*12)</x:f>
        <x:v>17.164285714285715</x:v>
      </x:c>
      <x:c r="E4" s="26" t="n">
        <x:f>IF((E$3*Inputs!$B$12*($A4-Inputs!$B$10)-Inputs!$B$8)&lt;=0,"No payback",Inputs!$B$5/(E$3*Inputs!$B$12*($A4-Inputs!$B$10)-Inputs!$B$8)*12)</x:f>
        <x:v>10.562637362637362</x:v>
      </x:c>
      <x:c r="F4" s="26" t="n">
        <x:f>IF((F$3*Inputs!$B$12*($A4-Inputs!$B$10)-Inputs!$B$8)&lt;=0,"No payback",Inputs!$B$5/(F$3*Inputs!$B$12*($A4-Inputs!$B$10)-Inputs!$B$8)*12)</x:f>
        <x:v>7.628571428571428</x:v>
      </x:c>
      <x:c r="G4" s="26" t="n">
        <x:f>IF((G$3*Inputs!$B$12*($A4-Inputs!$B$10)-Inputs!$B$8)&lt;=0,"No payback",Inputs!$B$5/(G$3*Inputs!$B$12*($A4-Inputs!$B$10)-Inputs!$B$8)*12)</x:f>
        <x:v>5.970186335403727</x:v>
      </x:c>
      <x:c r="H4" s="26" t="n">
        <x:f>IF((H$3*Inputs!$B$12*($A4-Inputs!$B$10)-Inputs!$B$8)&lt;=0,"No payback",Inputs!$B$5/(H$3*Inputs!$B$12*($A4-Inputs!$B$10)-Inputs!$B$8)*12)</x:f>
        <x:v>4.904081632653061</x:v>
      </x:c>
      <x:c r="I4" s="26" t="n">
        <x:f>IF((I$3*Inputs!$B$12*($A4-Inputs!$B$10)-Inputs!$B$8)&lt;=0,"No payback",Inputs!$B$5/(I$3*Inputs!$B$12*($A4-Inputs!$B$10)-Inputs!$B$8)*12)</x:f>
        <x:v>4.161038961038961</x:v>
      </x:c>
      <x:c r="J4" s="26" t="n">
        <x:f>IF((J$3*Inputs!$B$12*($A4-Inputs!$B$10)-Inputs!$B$8)&lt;=0,"No payback",Inputs!$B$5/(J$3*Inputs!$B$12*($A4-Inputs!$B$10)-Inputs!$B$8)*12)</x:f>
        <x:v>3.613533834586466</x:v>
      </x:c>
      <x:c r="K4" s="26" t="n">
        <x:f>IF((K$3*Inputs!$B$12*($A4-Inputs!$B$10)-Inputs!$B$8)&lt;=0,"No payback",Inputs!$B$5/(K$3*Inputs!$B$12*($A4-Inputs!$B$10)-Inputs!$B$8)*12)</x:f>
        <x:v>3.1933554817275747</x:v>
      </x:c>
    </x:row>
    <x:row r="5">
      <x:c r="A5" s="12" t="n">
        <x:v>500</x:v>
      </x:c>
      <x:c r="B5" s="26" t="str">
        <x:f>IF((B$3*Inputs!$B$12*($A5-Inputs!$B$10)-Inputs!$B$8)&lt;=0,"No payback",Inputs!$B$5/(B$3*Inputs!$B$12*($A5-Inputs!$B$10)-Inputs!$B$8)*12)</x:f>
        <x:v>No payback</x:v>
      </x:c>
      <x:c r="C5" s="26" t="n">
        <x:f>IF((C$3*Inputs!$B$12*($A5-Inputs!$B$10)-Inputs!$B$8)&lt;=0,"No payback",Inputs!$B$5/(C$3*Inputs!$B$12*($A5-Inputs!$B$10)-Inputs!$B$8)*12)</x:f>
        <x:v>23.44390243902439</x:v>
      </x:c>
      <x:c r="D5" s="26" t="n">
        <x:f>IF((D$3*Inputs!$B$12*($A5-Inputs!$B$10)-Inputs!$B$8)&lt;=0,"No payback",Inputs!$B$5/(D$3*Inputs!$B$12*($A5-Inputs!$B$10)-Inputs!$B$8)*12)</x:f>
        <x:v>11.176744186046513</x:v>
      </x:c>
      <x:c r="E5" s="26" t="n">
        <x:f>IF((E$3*Inputs!$B$12*($A5-Inputs!$B$10)-Inputs!$B$8)&lt;=0,"No payback",Inputs!$B$5/(E$3*Inputs!$B$12*($A5-Inputs!$B$10)-Inputs!$B$8)*12)</x:f>
        <x:v>7.337404580152672</x:v>
      </x:c>
      <x:c r="F5" s="26" t="n">
        <x:f>IF((F$3*Inputs!$B$12*($A5-Inputs!$B$10)-Inputs!$B$8)&lt;=0,"No payback",Inputs!$B$5/(F$3*Inputs!$B$12*($A5-Inputs!$B$10)-Inputs!$B$8)*12)</x:f>
        <x:v>5.461363636363637</x:v>
      </x:c>
      <x:c r="G5" s="26" t="n">
        <x:f>IF((G$3*Inputs!$B$12*($A5-Inputs!$B$10)-Inputs!$B$8)&lt;=0,"No payback",Inputs!$B$5/(G$3*Inputs!$B$12*($A5-Inputs!$B$10)-Inputs!$B$8)*12)</x:f>
        <x:v>4.349321266968325</x:v>
      </x:c>
      <x:c r="H5" s="26" t="n">
        <x:f>IF((H$3*Inputs!$B$12*($A5-Inputs!$B$10)-Inputs!$B$8)&lt;=0,"No payback",Inputs!$B$5/(H$3*Inputs!$B$12*($A5-Inputs!$B$10)-Inputs!$B$8)*12)</x:f>
        <x:v>3.613533834586466</x:v>
      </x:c>
      <x:c r="I5" s="26" t="n">
        <x:f>IF((I$3*Inputs!$B$12*($A5-Inputs!$B$10)-Inputs!$B$8)&lt;=0,"No payback",Inputs!$B$5/(I$3*Inputs!$B$12*($A5-Inputs!$B$10)-Inputs!$B$8)*12)</x:f>
        <x:v>3.090675241157556</x:v>
      </x:c>
      <x:c r="J5" s="26" t="n">
        <x:f>IF((J$3*Inputs!$B$12*($A5-Inputs!$B$10)-Inputs!$B$8)&lt;=0,"No payback",Inputs!$B$5/(J$3*Inputs!$B$12*($A5-Inputs!$B$10)-Inputs!$B$8)*12)</x:f>
        <x:v>2.7</x:v>
      </x:c>
      <x:c r="K5" s="26" t="n">
        <x:f>IF((K$3*Inputs!$B$12*($A5-Inputs!$B$10)-Inputs!$B$8)&lt;=0,"No payback",Inputs!$B$5/(K$3*Inputs!$B$12*($A5-Inputs!$B$10)-Inputs!$B$8)*12)</x:f>
        <x:v>2.3970074812967583</x:v>
      </x:c>
    </x:row>
    <x:row r="6">
      <x:c r="A6" s="12" t="n">
        <x:v>600</x:v>
      </x:c>
      <x:c r="B6" s="26" t="n">
        <x:f>IF((B$3*Inputs!$B$12*($A6-Inputs!$B$10)-Inputs!$B$8)&lt;=0,"No payback",Inputs!$B$5/(B$3*Inputs!$B$12*($A6-Inputs!$B$10)-Inputs!$B$8)*12)</x:f>
        <x:v>160.2</x:v>
      </x:c>
      <x:c r="C6" s="26" t="n">
        <x:f>IF((C$3*Inputs!$B$12*($A6-Inputs!$B$10)-Inputs!$B$8)&lt;=0,"No payback",Inputs!$B$5/(C$3*Inputs!$B$12*($A6-Inputs!$B$10)-Inputs!$B$8)*12)</x:f>
        <x:v>15.757377049180329</x:v>
      </x:c>
      <x:c r="D6" s="26" t="n">
        <x:f>IF((D$3*Inputs!$B$12*($A6-Inputs!$B$10)-Inputs!$B$8)&lt;=0,"No payback",Inputs!$B$5/(D$3*Inputs!$B$12*($A6-Inputs!$B$10)-Inputs!$B$8)*12)</x:f>
        <x:v>8.286206896551725</x:v>
      </x:c>
      <x:c r="E6" s="26" t="n">
        <x:f>IF((E$3*Inputs!$B$12*($A6-Inputs!$B$10)-Inputs!$B$8)&lt;=0,"No payback",Inputs!$B$5/(E$3*Inputs!$B$12*($A6-Inputs!$B$10)-Inputs!$B$8)*12)</x:f>
        <x:v>5.621052631578948</x:v>
      </x:c>
      <x:c r="F6" s="26" t="n">
        <x:f>IF((F$3*Inputs!$B$12*($A6-Inputs!$B$10)-Inputs!$B$8)&lt;=0,"No payback",Inputs!$B$5/(F$3*Inputs!$B$12*($A6-Inputs!$B$10)-Inputs!$B$8)*12)</x:f>
        <x:v>4.253097345132743</x:v>
      </x:c>
      <x:c r="G6" s="26" t="n">
        <x:f>IF((G$3*Inputs!$B$12*($A6-Inputs!$B$10)-Inputs!$B$8)&lt;=0,"No payback",Inputs!$B$5/(G$3*Inputs!$B$12*($A6-Inputs!$B$10)-Inputs!$B$8)*12)</x:f>
        <x:v>3.420640569395018</x:v>
      </x:c>
      <x:c r="H6" s="26" t="n">
        <x:f>IF((H$3*Inputs!$B$12*($A6-Inputs!$B$10)-Inputs!$B$8)&lt;=0,"No payback",Inputs!$B$5/(H$3*Inputs!$B$12*($A6-Inputs!$B$10)-Inputs!$B$8)*12)</x:f>
        <x:v>2.8607142857142858</x:v>
      </x:c>
      <x:c r="I6" s="26" t="n">
        <x:f>IF((I$3*Inputs!$B$12*($A6-Inputs!$B$10)-Inputs!$B$8)&lt;=0,"No payback",Inputs!$B$5/(I$3*Inputs!$B$12*($A6-Inputs!$B$10)-Inputs!$B$8)*12)</x:f>
        <x:v>2.458312020460358</x:v>
      </x:c>
      <x:c r="J6" s="26" t="n">
        <x:f>IF((J$3*Inputs!$B$12*($A6-Inputs!$B$10)-Inputs!$B$8)&lt;=0,"No payback",Inputs!$B$5/(J$3*Inputs!$B$12*($A6-Inputs!$B$10)-Inputs!$B$8)*12)</x:f>
        <x:v>2.155156950672646</x:v>
      </x:c>
      <x:c r="K6" s="26" t="n">
        <x:f>IF((K$3*Inputs!$B$12*($A6-Inputs!$B$10)-Inputs!$B$8)&lt;=0,"No payback",Inputs!$B$5/(K$3*Inputs!$B$12*($A6-Inputs!$B$10)-Inputs!$B$8)*12)</x:f>
        <x:v>1.918562874251497</x:v>
      </x:c>
    </x:row>
    <x:row r="7">
      <x:c r="A7" s="12" t="n">
        <x:v>700</x:v>
      </x:c>
      <x:c r="B7" s="26" t="n">
        <x:f>IF((B$3*Inputs!$B$12*($A7-Inputs!$B$10)-Inputs!$B$8)&lt;=0,"No payback",Inputs!$B$5/(B$3*Inputs!$B$12*($A7-Inputs!$B$10)-Inputs!$B$8)*12)</x:f>
        <x:v>60.074999999999996</x:v>
      </x:c>
      <x:c r="C7" s="26" t="n">
        <x:f>IF((C$3*Inputs!$B$12*($A7-Inputs!$B$10)-Inputs!$B$8)&lt;=0,"No payback",Inputs!$B$5/(C$3*Inputs!$B$12*($A7-Inputs!$B$10)-Inputs!$B$8)*12)</x:f>
        <x:v>11.866666666666667</x:v>
      </x:c>
      <x:c r="D7" s="26" t="n">
        <x:f>IF((D$3*Inputs!$B$12*($A7-Inputs!$B$10)-Inputs!$B$8)&lt;=0,"No payback",Inputs!$B$5/(D$3*Inputs!$B$12*($A7-Inputs!$B$10)-Inputs!$B$8)*12)</x:f>
        <x:v>6.583561643835616</x:v>
      </x:c>
      <x:c r="E7" s="26" t="n">
        <x:f>IF((E$3*Inputs!$B$12*($A7-Inputs!$B$10)-Inputs!$B$8)&lt;=0,"No payback",Inputs!$B$5/(E$3*Inputs!$B$12*($A7-Inputs!$B$10)-Inputs!$B$8)*12)</x:f>
        <x:v>4.555450236966824</x:v>
      </x:c>
      <x:c r="F7" s="26" t="n">
        <x:f>IF((F$3*Inputs!$B$12*($A7-Inputs!$B$10)-Inputs!$B$8)&lt;=0,"No payback",Inputs!$B$5/(F$3*Inputs!$B$12*($A7-Inputs!$B$10)-Inputs!$B$8)*12)</x:f>
        <x:v>3.482608695652174</x:v>
      </x:c>
      <x:c r="G7" s="26" t="n">
        <x:f>IF((G$3*Inputs!$B$12*($A7-Inputs!$B$10)-Inputs!$B$8)&lt;=0,"No payback",Inputs!$B$5/(G$3*Inputs!$B$12*($A7-Inputs!$B$10)-Inputs!$B$8)*12)</x:f>
        <x:v>2.818768328445748</x:v>
      </x:c>
      <x:c r="H7" s="26" t="n">
        <x:f>IF((H$3*Inputs!$B$12*($A7-Inputs!$B$10)-Inputs!$B$8)&lt;=0,"No payback",Inputs!$B$5/(H$3*Inputs!$B$12*($A7-Inputs!$B$10)-Inputs!$B$8)*12)</x:f>
        <x:v>2.3674876847290642</x:v>
      </x:c>
      <x:c r="I7" s="26" t="n">
        <x:f>IF((I$3*Inputs!$B$12*($A7-Inputs!$B$10)-Inputs!$B$8)&lt;=0,"No payback",Inputs!$B$5/(I$3*Inputs!$B$12*($A7-Inputs!$B$10)-Inputs!$B$8)*12)</x:f>
        <x:v>2.040764331210191</x:v>
      </x:c>
      <x:c r="J7" s="26" t="n">
        <x:f>IF((J$3*Inputs!$B$12*($A7-Inputs!$B$10)-Inputs!$B$8)&lt;=0,"No payback",Inputs!$B$5/(J$3*Inputs!$B$12*($A7-Inputs!$B$10)-Inputs!$B$8)*12)</x:f>
        <x:v>1.7932835820895523</x:v>
      </x:c>
      <x:c r="K7" s="26" t="n">
        <x:f>IF((K$3*Inputs!$B$12*($A7-Inputs!$B$10)-Inputs!$B$8)&lt;=0,"No payback",Inputs!$B$5/(K$3*Inputs!$B$12*($A7-Inputs!$B$10)-Inputs!$B$8)*12)</x:f>
        <x:v>1.599334442595674</x:v>
      </x:c>
    </x:row>
    <x:row r="8">
      <x:c r="A8" s="12" t="n">
        <x:v>800</x:v>
      </x:c>
      <x:c r="B8" s="26" t="n">
        <x:f>IF((B$3*Inputs!$B$12*($A8-Inputs!$B$10)-Inputs!$B$8)&lt;=0,"No payback",Inputs!$B$5/(B$3*Inputs!$B$12*($A8-Inputs!$B$10)-Inputs!$B$8)*12)</x:f>
        <x:v>36.96923076923077</x:v>
      </x:c>
      <x:c r="C8" s="26" t="n">
        <x:f>IF((C$3*Inputs!$B$12*($A8-Inputs!$B$10)-Inputs!$B$8)&lt;=0,"No payback",Inputs!$B$5/(C$3*Inputs!$B$12*($A8-Inputs!$B$10)-Inputs!$B$8)*12)</x:f>
        <x:v>9.516831683168316</x:v>
      </x:c>
      <x:c r="D8" s="26" t="n">
        <x:f>IF((D$3*Inputs!$B$12*($A8-Inputs!$B$10)-Inputs!$B$8)&lt;=0,"No payback",Inputs!$B$5/(D$3*Inputs!$B$12*($A8-Inputs!$B$10)-Inputs!$B$8)*12)</x:f>
        <x:v>5.461363636363637</x:v>
      </x:c>
      <x:c r="E8" s="26" t="n">
        <x:f>IF((E$3*Inputs!$B$12*($A8-Inputs!$B$10)-Inputs!$B$8)&lt;=0,"No payback",Inputs!$B$5/(E$3*Inputs!$B$12*($A8-Inputs!$B$10)-Inputs!$B$8)*12)</x:f>
        <x:v>3.8294820717131475</x:v>
      </x:c>
      <x:c r="F8" s="26" t="n">
        <x:f>IF((F$3*Inputs!$B$12*($A8-Inputs!$B$10)-Inputs!$B$8)&lt;=0,"No payback",Inputs!$B$5/(F$3*Inputs!$B$12*($A8-Inputs!$B$10)-Inputs!$B$8)*12)</x:f>
        <x:v>2.9484662576687115</x:v>
      </x:c>
      <x:c r="G8" s="26" t="n">
        <x:f>IF((G$3*Inputs!$B$12*($A8-Inputs!$B$10)-Inputs!$B$8)&lt;=0,"No payback",Inputs!$B$5/(G$3*Inputs!$B$12*($A8-Inputs!$B$10)-Inputs!$B$8)*12)</x:f>
        <x:v>2.3970074812967583</x:v>
      </x:c>
      <x:c r="H8" s="26" t="n">
        <x:f>IF((H$3*Inputs!$B$12*($A8-Inputs!$B$10)-Inputs!$B$8)&lt;=0,"No payback",Inputs!$B$5/(H$3*Inputs!$B$12*($A8-Inputs!$B$10)-Inputs!$B$8)*12)</x:f>
        <x:v>2.019327731092437</x:v>
      </x:c>
      <x:c r="I8" s="26" t="n">
        <x:f>IF((I$3*Inputs!$B$12*($A8-Inputs!$B$10)-Inputs!$B$8)&lt;=0,"No payback",Inputs!$B$5/(I$3*Inputs!$B$12*($A8-Inputs!$B$10)-Inputs!$B$8)*12)</x:f>
        <x:v>1.7444646098003629</x:v>
      </x:c>
      <x:c r="J8" s="26" t="n">
        <x:f>IF((J$3*Inputs!$B$12*($A8-Inputs!$B$10)-Inputs!$B$8)&lt;=0,"No payback",Inputs!$B$5/(J$3*Inputs!$B$12*($A8-Inputs!$B$10)-Inputs!$B$8)*12)</x:f>
        <x:v>1.5354632587859425</x:v>
      </x:c>
      <x:c r="K8" s="26" t="n">
        <x:f>IF((K$3*Inputs!$B$12*($A8-Inputs!$B$10)-Inputs!$B$8)&lt;=0,"No payback",Inputs!$B$5/(K$3*Inputs!$B$12*($A8-Inputs!$B$10)-Inputs!$B$8)*12)</x:f>
        <x:v>1.3711840228245364</x:v>
      </x:c>
    </x:row>
    <x:row r="9">
      <x:c r="A9" s="12" t="n">
        <x:v>900</x:v>
      </x:c>
      <x:c r="B9" s="26" t="n">
        <x:f>IF((B$3*Inputs!$B$12*($A9-Inputs!$B$10)-Inputs!$B$8)&lt;=0,"No payback",Inputs!$B$5/(B$3*Inputs!$B$12*($A9-Inputs!$B$10)-Inputs!$B$8)*12)</x:f>
        <x:v>26.700000000000003</x:v>
      </x:c>
      <x:c r="C9" s="26" t="n">
        <x:f>IF((C$3*Inputs!$B$12*($A9-Inputs!$B$10)-Inputs!$B$8)&lt;=0,"No payback",Inputs!$B$5/(C$3*Inputs!$B$12*($A9-Inputs!$B$10)-Inputs!$B$8)*12)</x:f>
        <x:v>7.943801652892562</x:v>
      </x:c>
      <x:c r="D9" s="26" t="n">
        <x:f>IF((D$3*Inputs!$B$12*($A9-Inputs!$B$10)-Inputs!$B$8)&lt;=0,"No payback",Inputs!$B$5/(D$3*Inputs!$B$12*($A9-Inputs!$B$10)-Inputs!$B$8)*12)</x:f>
        <x:v>4.666019417475728</x:v>
      </x:c>
      <x:c r="E9" s="26" t="n">
        <x:f>IF((E$3*Inputs!$B$12*($A9-Inputs!$B$10)-Inputs!$B$8)&lt;=0,"No payback",Inputs!$B$5/(E$3*Inputs!$B$12*($A9-Inputs!$B$10)-Inputs!$B$8)*12)</x:f>
        <x:v>3.303092783505155</x:v>
      </x:c>
      <x:c r="F9" s="26" t="n">
        <x:f>IF((F$3*Inputs!$B$12*($A9-Inputs!$B$10)-Inputs!$B$8)&lt;=0,"No payback",Inputs!$B$5/(F$3*Inputs!$B$12*($A9-Inputs!$B$10)-Inputs!$B$8)*12)</x:f>
        <x:v>2.5563829787234043</x:v>
      </x:c>
      <x:c r="G9" s="26" t="n">
        <x:f>IF((G$3*Inputs!$B$12*($A9-Inputs!$B$10)-Inputs!$B$8)&lt;=0,"No payback",Inputs!$B$5/(G$3*Inputs!$B$12*($A9-Inputs!$B$10)-Inputs!$B$8)*12)</x:f>
        <x:v>2.0850325379609544</x:v>
      </x:c>
      <x:c r="H9" s="26" t="n">
        <x:f>IF((H$3*Inputs!$B$12*($A9-Inputs!$B$10)-Inputs!$B$8)&lt;=0,"No payback",Inputs!$B$5/(H$3*Inputs!$B$12*($A9-Inputs!$B$10)-Inputs!$B$8)*12)</x:f>
        <x:v>1.7604395604395604</x:v>
      </x:c>
      <x:c r="I9" s="26" t="n">
        <x:f>IF((I$3*Inputs!$B$12*($A9-Inputs!$B$10)-Inputs!$B$8)&lt;=0,"No payback",Inputs!$B$5/(I$3*Inputs!$B$12*($A9-Inputs!$B$10)-Inputs!$B$8)*12)</x:f>
        <x:v>1.523296354992076</x:v>
      </x:c>
      <x:c r="J9" s="26" t="n">
        <x:f>IF((J$3*Inputs!$B$12*($A9-Inputs!$B$10)-Inputs!$B$8)&lt;=0,"No payback",Inputs!$B$5/(J$3*Inputs!$B$12*($A9-Inputs!$B$10)-Inputs!$B$8)*12)</x:f>
        <x:v>1.3424581005586593</x:v>
      </x:c>
      <x:c r="K9" s="26" t="n">
        <x:f>IF((K$3*Inputs!$B$12*($A9-Inputs!$B$10)-Inputs!$B$8)&lt;=0,"No payback",Inputs!$B$5/(K$3*Inputs!$B$12*($A9-Inputs!$B$10)-Inputs!$B$8)*12)</x:f>
        <x:v>1.2000000000000002</x:v>
      </x:c>
    </x:row>
    <x:row r="10">
      <x:c r="A10" s="12" t="n">
        <x:v>1000</x:v>
      </x:c>
      <x:c r="B10" s="26" t="n">
        <x:f>IF((B$3*Inputs!$B$12*($A10-Inputs!$B$10)-Inputs!$B$8)&lt;=0,"No payback",Inputs!$B$5/(B$3*Inputs!$B$12*($A10-Inputs!$B$10)-Inputs!$B$8)*12)</x:f>
        <x:v>20.895652173913042</x:v>
      </x:c>
      <x:c r="C10" s="26" t="n">
        <x:f>IF((C$3*Inputs!$B$12*($A10-Inputs!$B$10)-Inputs!$B$8)&lt;=0,"No payback",Inputs!$B$5/(C$3*Inputs!$B$12*($A10-Inputs!$B$10)-Inputs!$B$8)*12)</x:f>
        <x:v>6.817021276595744</x:v>
      </x:c>
      <x:c r="D10" s="26" t="n">
        <x:f>IF((D$3*Inputs!$B$12*($A10-Inputs!$B$10)-Inputs!$B$8)&lt;=0,"No payback",Inputs!$B$5/(D$3*Inputs!$B$12*($A10-Inputs!$B$10)-Inputs!$B$8)*12)</x:f>
        <x:v>4.0728813559322035</x:v>
      </x:c>
      <x:c r="E10" s="26" t="n">
        <x:f>IF((E$3*Inputs!$B$12*($A10-Inputs!$B$10)-Inputs!$B$8)&lt;=0,"No payback",Inputs!$B$5/(E$3*Inputs!$B$12*($A10-Inputs!$B$10)-Inputs!$B$8)*12)</x:f>
        <x:v>2.9039274924471297</x:v>
      </x:c>
      <x:c r="F10" s="26" t="n">
        <x:f>IF((F$3*Inputs!$B$12*($A10-Inputs!$B$10)-Inputs!$B$8)&lt;=0,"No payback",Inputs!$B$5/(F$3*Inputs!$B$12*($A10-Inputs!$B$10)-Inputs!$B$8)*12)</x:f>
        <x:v>2.256338028169014</x:v>
      </x:c>
      <x:c r="G10" s="26" t="n">
        <x:f>IF((G$3*Inputs!$B$12*($A10-Inputs!$B$10)-Inputs!$B$8)&lt;=0,"No payback",Inputs!$B$5/(G$3*Inputs!$B$12*($A10-Inputs!$B$10)-Inputs!$B$8)*12)</x:f>
        <x:v>1.8449136276391553</x:v>
      </x:c>
      <x:c r="H10" s="26" t="n">
        <x:f>IF((H$3*Inputs!$B$12*($A10-Inputs!$B$10)-Inputs!$B$8)&lt;=0,"No payback",Inputs!$B$5/(H$3*Inputs!$B$12*($A10-Inputs!$B$10)-Inputs!$B$8)*12)</x:f>
        <x:v>1.5603896103896102</x:v>
      </x:c>
      <x:c r="I10" s="26" t="n">
        <x:f>IF((I$3*Inputs!$B$12*($A10-Inputs!$B$10)-Inputs!$B$8)&lt;=0,"No payback",Inputs!$B$5/(I$3*Inputs!$B$12*($A10-Inputs!$B$10)-Inputs!$B$8)*12)</x:f>
        <x:v>1.3518987341772153</x:v>
      </x:c>
      <x:c r="J10" s="26" t="n">
        <x:f>IF((J$3*Inputs!$B$12*($A10-Inputs!$B$10)-Inputs!$B$8)&lt;=0,"No payback",Inputs!$B$5/(J$3*Inputs!$B$12*($A10-Inputs!$B$10)-Inputs!$B$8)*12)</x:f>
        <x:v>1.1925558312655087</x:v>
      </x:c>
      <x:c r="K10" s="26" t="n">
        <x:f>IF((K$3*Inputs!$B$12*($A10-Inputs!$B$10)-Inputs!$B$8)&lt;=0,"No payback",Inputs!$B$5/(K$3*Inputs!$B$12*($A10-Inputs!$B$10)-Inputs!$B$8)*12)</x:f>
        <x:v>1.0668146503884572</x:v>
      </x:c>
    </x:row>
    <x:row r="11">
      <x:c r="A11" s="12" t="n">
        <x:v>1100</x:v>
      </x:c>
      <x:c r="B11" s="26" t="n">
        <x:f>IF((B$3*Inputs!$B$12*($A11-Inputs!$B$10)-Inputs!$B$8)&lt;=0,"No payback",Inputs!$B$5/(B$3*Inputs!$B$12*($A11-Inputs!$B$10)-Inputs!$B$8)*12)</x:f>
        <x:v>17.164285714285715</x:v>
      </x:c>
      <x:c r="C11" s="26" t="n">
        <x:f>IF((C$3*Inputs!$B$12*($A11-Inputs!$B$10)-Inputs!$B$8)&lt;=0,"No payback",Inputs!$B$5/(C$3*Inputs!$B$12*($A11-Inputs!$B$10)-Inputs!$B$8)*12)</x:f>
        <x:v>5.970186335403727</x:v>
      </x:c>
      <x:c r="D11" s="26" t="n">
        <x:f>IF((D$3*Inputs!$B$12*($A11-Inputs!$B$10)-Inputs!$B$8)&lt;=0,"No payback",Inputs!$B$5/(D$3*Inputs!$B$12*($A11-Inputs!$B$10)-Inputs!$B$8)*12)</x:f>
        <x:v>3.613533834586466</x:v>
      </x:c>
      <x:c r="E11" s="26" t="n">
        <x:f>IF((E$3*Inputs!$B$12*($A11-Inputs!$B$10)-Inputs!$B$8)&lt;=0,"No payback",Inputs!$B$5/(E$3*Inputs!$B$12*($A11-Inputs!$B$10)-Inputs!$B$8)*12)</x:f>
        <x:v>2.590835579514825</x:v>
      </x:c>
      <x:c r="F11" s="26" t="n">
        <x:f>IF((F$3*Inputs!$B$12*($A11-Inputs!$B$10)-Inputs!$B$8)&lt;=0,"No payback",Inputs!$B$5/(F$3*Inputs!$B$12*($A11-Inputs!$B$10)-Inputs!$B$8)*12)</x:f>
        <x:v>2.019327731092437</x:v>
      </x:c>
      <x:c r="G11" s="26" t="n">
        <x:f>IF((G$3*Inputs!$B$12*($A11-Inputs!$B$10)-Inputs!$B$8)&lt;=0,"No payback",Inputs!$B$5/(G$3*Inputs!$B$12*($A11-Inputs!$B$10)-Inputs!$B$8)*12)</x:f>
        <x:v>1.6543889845094666</x:v>
      </x:c>
      <x:c r="H11" s="26" t="n">
        <x:f>IF((H$3*Inputs!$B$12*($A11-Inputs!$B$10)-Inputs!$B$8)&lt;=0,"No payback",Inputs!$B$5/(H$3*Inputs!$B$12*($A11-Inputs!$B$10)-Inputs!$B$8)*12)</x:f>
        <x:v>1.4011661807580176</x:v>
      </x:c>
      <x:c r="I11" s="26" t="n">
        <x:f>IF((I$3*Inputs!$B$12*($A11-Inputs!$B$10)-Inputs!$B$8)&lt;=0,"No payback",Inputs!$B$5/(I$3*Inputs!$B$12*($A11-Inputs!$B$10)-Inputs!$B$8)*12)</x:f>
        <x:v>1.2151706700379266</x:v>
      </x:c>
      <x:c r="J11" s="26" t="n">
        <x:f>IF((J$3*Inputs!$B$12*($A11-Inputs!$B$10)-Inputs!$B$8)&lt;=0,"No payback",Inputs!$B$5/(J$3*Inputs!$B$12*($A11-Inputs!$B$10)-Inputs!$B$8)*12)</x:f>
        <x:v>1.0727678571428572</x:v>
      </x:c>
      <x:c r="K11" s="26" t="n">
        <x:f>IF((K$3*Inputs!$B$12*($A11-Inputs!$B$10)-Inputs!$B$8)&lt;=0,"No payback",Inputs!$B$5/(K$3*Inputs!$B$12*($A11-Inputs!$B$10)-Inputs!$B$8)*12)</x:f>
        <x:v>0.9602397602397603</x:v>
      </x:c>
    </x:row>
    <x:row r="12">
      <x:c r="A12" s="12" t="n">
        <x:v>1200</x:v>
      </x:c>
      <x:c r="B12" s="26" t="n">
        <x:f>IF((B$3*Inputs!$B$12*($A12-Inputs!$B$10)-Inputs!$B$8)&lt;=0,"No payback",Inputs!$B$5/(B$3*Inputs!$B$12*($A12-Inputs!$B$10)-Inputs!$B$8)*12)</x:f>
        <x:v>14.563636363636363</x:v>
      </x:c>
      <x:c r="C12" s="26" t="n">
        <x:f>IF((C$3*Inputs!$B$12*($A12-Inputs!$B$10)-Inputs!$B$8)&lt;=0,"No payback",Inputs!$B$5/(C$3*Inputs!$B$12*($A12-Inputs!$B$10)-Inputs!$B$8)*12)</x:f>
        <x:v>5.310497237569061</x:v>
      </x:c>
      <x:c r="D12" s="26" t="n">
        <x:f>IF((D$3*Inputs!$B$12*($A12-Inputs!$B$10)-Inputs!$B$8)&lt;=0,"No payback",Inputs!$B$5/(D$3*Inputs!$B$12*($A12-Inputs!$B$10)-Inputs!$B$8)*12)</x:f>
        <x:v>3.247297297297297</x:v>
      </x:c>
      <x:c r="E12" s="26" t="n">
        <x:f>IF((E$3*Inputs!$B$12*($A12-Inputs!$B$10)-Inputs!$B$8)&lt;=0,"No payback",Inputs!$B$5/(E$3*Inputs!$B$12*($A12-Inputs!$B$10)-Inputs!$B$8)*12)</x:f>
        <x:v>2.3386861313868614</x:v>
      </x:c>
      <x:c r="F12" s="26" t="n">
        <x:f>IF((F$3*Inputs!$B$12*($A12-Inputs!$B$10)-Inputs!$B$8)&lt;=0,"No payback",Inputs!$B$5/(F$3*Inputs!$B$12*($A12-Inputs!$B$10)-Inputs!$B$8)*12)</x:f>
        <x:v>1.8273764258555134</x:v>
      </x:c>
      <x:c r="G12" s="26" t="n">
        <x:f>IF((G$3*Inputs!$B$12*($A12-Inputs!$B$10)-Inputs!$B$8)&lt;=0,"No payback",Inputs!$B$5/(G$3*Inputs!$B$12*($A12-Inputs!$B$10)-Inputs!$B$8)*12)</x:f>
        <x:v>1.4995319812792514</x:v>
      </x:c>
      <x:c r="H12" s="26" t="n">
        <x:f>IF((H$3*Inputs!$B$12*($A12-Inputs!$B$10)-Inputs!$B$8)&lt;=0,"No payback",Inputs!$B$5/(H$3*Inputs!$B$12*($A12-Inputs!$B$10)-Inputs!$B$8)*12)</x:f>
        <x:v>1.2714285714285714</x:v>
      </x:c>
      <x:c r="I12" s="26" t="n">
        <x:f>IF((I$3*Inputs!$B$12*($A12-Inputs!$B$10)-Inputs!$B$8)&lt;=0,"No payback",Inputs!$B$5/(I$3*Inputs!$B$12*($A12-Inputs!$B$10)-Inputs!$B$8)*12)</x:f>
        <x:v>1.1035591274397243</x:v>
      </x:c>
      <x:c r="J12" s="26" t="n">
        <x:f>IF((J$3*Inputs!$B$12*($A12-Inputs!$B$10)-Inputs!$B$8)&lt;=0,"No payback",Inputs!$B$5/(J$3*Inputs!$B$12*($A12-Inputs!$B$10)-Inputs!$B$8)*12)</x:f>
        <x:v>0.9748478701825558</x:v>
      </x:c>
      <x:c r="K12" s="26" t="n">
        <x:f>IF((K$3*Inputs!$B$12*($A12-Inputs!$B$10)-Inputs!$B$8)&lt;=0,"No payback",Inputs!$B$5/(K$3*Inputs!$B$12*($A12-Inputs!$B$10)-Inputs!$B$8)*12)</x:f>
        <x:v>0.873024523160763</x:v>
      </x:c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69999694824219" hidden="0" customWidth="1"/>
    <x:col min="2" max="2" width="15" hidden="0" customWidth="1"/>
    <x:col min="3" max="3" width="42.13999938964844" hidden="0" customWidth="1"/>
    <x:col min="4" max="4" width="17.860000610351562" hidden="0" customWidth="1"/>
    <x:col min="5" max="5" width="17.860000610351562" hidden="0" customWidth="1"/>
    <x:col min="6" max="6" width="17.860000610351562" hidden="0" customWidth="1"/>
    <x:col min="7" max="7" width="17.860000610351562" hidden="0" customWidth="1"/>
  </x:cols>
  <x:sheetData>
    <x:row r="1">
      <x:c r="A1" s="6" t="str">
        <x:v>24-Month Ramp Cash Flow Outline</x:v>
      </x:c>
    </x:row>
    <x:row r="3">
      <x:c r="A3" s="10" t="str">
        <x:v>Month</x:v>
      </x:c>
      <x:c r="B3" s="10" t="str">
        <x:v>Bookings/wk</x:v>
      </x:c>
      <x:c r="C3" s="10" t="str">
        <x:v>Notes</x:v>
      </x:c>
      <x:c r="D3" s="10" t="str">
        <x:v>Bookings/mo</x:v>
      </x:c>
      <x:c r="E3" s="10" t="str">
        <x:v>Revenue</x:v>
      </x:c>
      <x:c r="F3" s="10" t="str">
        <x:v>Contribution</x:v>
      </x:c>
      <x:c r="G3" s="10" t="str">
        <x:v>Net cash before debt</x:v>
      </x:c>
    </x:row>
    <x:row r="4">
      <x:c r="A4" t="str">
        <x:v>Month 1</x:v>
      </x:c>
      <x:c r="B4" t="n">
        <x:v>0</x:v>
      </x:c>
      <x:c r="C4" t="str">
        <x:v>Validation and sourcing</x:v>
      </x:c>
      <x:c r="D4" s="26" t="n">
        <x:f>B4*4.33</x:f>
        <x:v>0</x:v>
      </x:c>
      <x:c r="E4" s="12" t="n">
        <x:f>D4*Inputs!$B$9</x:f>
        <x:v>0</x:v>
      </x:c>
      <x:c r="F4" s="12" t="n">
        <x:f>D4*(Inputs!$B$9-Inputs!$B$10)</x:f>
        <x:v>0</x:v>
      </x:c>
      <x:c r="G4" s="12" t="n">
        <x:f>F4-(Inputs!$B$8/12)</x:f>
        <x:v>-2041.6666666666667</x:v>
      </x:c>
    </x:row>
    <x:row r="5">
      <x:c r="A5" t="str">
        <x:v>Month 2</x:v>
      </x:c>
      <x:c r="B5" t="n">
        <x:v>0</x:v>
      </x:c>
      <x:c r="C5" t="str">
        <x:v>LLC, trailer quotes, hardware orders</x:v>
      </x:c>
      <x:c r="D5" s="26" t="n">
        <x:f>B5*4.33</x:f>
        <x:v>0</x:v>
      </x:c>
      <x:c r="E5" s="12" t="n">
        <x:f>D5*Inputs!$B$9</x:f>
        <x:v>0</x:v>
      </x:c>
      <x:c r="F5" s="12" t="n">
        <x:f>D5*(Inputs!$B$9-Inputs!$B$10)</x:f>
        <x:v>0</x:v>
      </x:c>
      <x:c r="G5" s="12" t="n">
        <x:f>F5-(Inputs!$B$8/12)</x:f>
        <x:v>-2041.6666666666667</x:v>
      </x:c>
    </x:row>
    <x:row r="6">
      <x:c r="A6" t="str">
        <x:v>Month 3</x:v>
      </x:c>
      <x:c r="B6" t="n">
        <x:v>0</x:v>
      </x:c>
      <x:c r="C6" t="str">
        <x:v>Retrofit begins</x:v>
      </x:c>
      <x:c r="D6" s="26" t="n">
        <x:f>B6*4.33</x:f>
        <x:v>0</x:v>
      </x:c>
      <x:c r="E6" s="12" t="n">
        <x:f>D6*Inputs!$B$9</x:f>
        <x:v>0</x:v>
      </x:c>
      <x:c r="F6" s="12" t="n">
        <x:f>D6*(Inputs!$B$9-Inputs!$B$10)</x:f>
        <x:v>0</x:v>
      </x:c>
      <x:c r="G6" s="12" t="n">
        <x:f>F6-(Inputs!$B$8/12)</x:f>
        <x:v>-2041.6666666666667</x:v>
      </x:c>
    </x:row>
    <x:row r="7">
      <x:c r="A7" t="str">
        <x:v>Month 4</x:v>
      </x:c>
      <x:c r="B7" t="n">
        <x:v>1</x:v>
      </x:c>
      <x:c r="C7" t="str">
        <x:v>Build continues, early demos only</x:v>
      </x:c>
      <x:c r="D7" s="26" t="n">
        <x:f>B7*4.33</x:f>
        <x:v>4.33</x:v>
      </x:c>
      <x:c r="E7" s="12" t="n">
        <x:f>D7*Inputs!$B$9</x:f>
        <x:v>2598</x:v>
      </x:c>
      <x:c r="F7" s="12" t="n">
        <x:f>D7*(Inputs!$B$9-Inputs!$B$10)</x:f>
        <x:v>2381.5</x:v>
      </x:c>
      <x:c r="G7" s="12" t="n">
        <x:f>F7-(Inputs!$B$8/12)</x:f>
        <x:v>339.83333333333326</x:v>
      </x:c>
    </x:row>
    <x:row r="8">
      <x:c r="A8" t="str">
        <x:v>Month 5</x:v>
      </x:c>
      <x:c r="B8" t="n">
        <x:v>2</x:v>
      </x:c>
      <x:c r="C8" t="str">
        <x:v>Soft launch demos and discounted bookings</x:v>
      </x:c>
      <x:c r="D8" s="26" t="n">
        <x:f>B8*4.33</x:f>
        <x:v>8.66</x:v>
      </x:c>
      <x:c r="E8" s="12" t="n">
        <x:f>D8*Inputs!$B$9</x:f>
        <x:v>5196</x:v>
      </x:c>
      <x:c r="F8" s="12" t="n">
        <x:f>D8*(Inputs!$B$9-Inputs!$B$10)</x:f>
        <x:v>4763</x:v>
      </x:c>
      <x:c r="G8" s="12" t="n">
        <x:f>F8-(Inputs!$B$8/12)</x:f>
        <x:v>2721.333333333333</x:v>
      </x:c>
    </x:row>
    <x:row r="9">
      <x:c r="A9" t="str">
        <x:v>Month 6</x:v>
      </x:c>
      <x:c r="B9" t="n">
        <x:v>3</x:v>
      </x:c>
      <x:c r="C9" t="str">
        <x:v>First paid booking cadence</x:v>
      </x:c>
      <x:c r="D9" s="26" t="n">
        <x:f>B9*4.33</x:f>
        <x:v>12.99</x:v>
      </x:c>
      <x:c r="E9" s="12" t="n">
        <x:f>D9*Inputs!$B$9</x:f>
        <x:v>7794</x:v>
      </x:c>
      <x:c r="F9" s="12" t="n">
        <x:f>D9*(Inputs!$B$9-Inputs!$B$10)</x:f>
        <x:v>7144.5</x:v>
      </x:c>
      <x:c r="G9" s="12" t="n">
        <x:f>F9-(Inputs!$B$8/12)</x:f>
        <x:v>5102.833333333333</x:v>
      </x:c>
    </x:row>
    <x:row r="10">
      <x:c r="A10" t="str">
        <x:v>Month 7</x:v>
      </x:c>
      <x:c r="B10" t="n">
        <x:v>4</x:v>
      </x:c>
      <x:c r="C10" t="str">
        <x:v>Marketing ramp</x:v>
      </x:c>
      <x:c r="D10" s="26" t="n">
        <x:f>B10*4.33</x:f>
        <x:v>17.32</x:v>
      </x:c>
      <x:c r="E10" s="12" t="n">
        <x:f>D10*Inputs!$B$9</x:f>
        <x:v>10392</x:v>
      </x:c>
      <x:c r="F10" s="12" t="n">
        <x:f>D10*(Inputs!$B$9-Inputs!$B$10)</x:f>
        <x:v>9526</x:v>
      </x:c>
      <x:c r="G10" s="12" t="n">
        <x:f>F10-(Inputs!$B$8/12)</x:f>
        <x:v>7484.333333333333</x:v>
      </x:c>
    </x:row>
    <x:row r="11">
      <x:c r="A11" t="str">
        <x:v>Month 8</x:v>
      </x:c>
      <x:c r="B11" t="n">
        <x:v>4</x:v>
      </x:c>
      <x:c r="C11" t="str">
        <x:v>Reviews and repeat events</x:v>
      </x:c>
      <x:c r="D11" s="26" t="n">
        <x:f>B11*4.33</x:f>
        <x:v>17.32</x:v>
      </x:c>
      <x:c r="E11" s="12" t="n">
        <x:f>D11*Inputs!$B$9</x:f>
        <x:v>10392</x:v>
      </x:c>
      <x:c r="F11" s="12" t="n">
        <x:f>D11*(Inputs!$B$9-Inputs!$B$10)</x:f>
        <x:v>9526</x:v>
      </x:c>
      <x:c r="G11" s="12" t="n">
        <x:f>F11-(Inputs!$B$8/12)</x:f>
        <x:v>7484.333333333333</x:v>
      </x:c>
    </x:row>
    <x:row r="12">
      <x:c r="A12" t="str">
        <x:v>Month 9</x:v>
      </x:c>
      <x:c r="B12" t="n">
        <x:v>5</x:v>
      </x:c>
      <x:c r="C12" t="str">
        <x:v>Corporate outreach</x:v>
      </x:c>
      <x:c r="D12" s="26" t="n">
        <x:f>B12*4.33</x:f>
        <x:v>21.65</x:v>
      </x:c>
      <x:c r="E12" s="12" t="n">
        <x:f>D12*Inputs!$B$9</x:f>
        <x:v>12990</x:v>
      </x:c>
      <x:c r="F12" s="12" t="n">
        <x:f>D12*(Inputs!$B$9-Inputs!$B$10)</x:f>
        <x:v>11907.5</x:v>
      </x:c>
      <x:c r="G12" s="12" t="n">
        <x:f>F12-(Inputs!$B$8/12)</x:f>
        <x:v>9865.833333333334</x:v>
      </x:c>
    </x:row>
    <x:row r="13">
      <x:c r="A13" t="str">
        <x:v>Month 10</x:v>
      </x:c>
      <x:c r="B13" t="n">
        <x:v>5</x:v>
      </x:c>
      <x:c r="C13" t="str">
        <x:v>Peak/referral cycle</x:v>
      </x:c>
      <x:c r="D13" s="26" t="n">
        <x:f>B13*4.33</x:f>
        <x:v>21.65</x:v>
      </x:c>
      <x:c r="E13" s="12" t="n">
        <x:f>D13*Inputs!$B$9</x:f>
        <x:v>12990</x:v>
      </x:c>
      <x:c r="F13" s="12" t="n">
        <x:f>D13*(Inputs!$B$9-Inputs!$B$10)</x:f>
        <x:v>11907.5</x:v>
      </x:c>
      <x:c r="G13" s="12" t="n">
        <x:f>F13-(Inputs!$B$8/12)</x:f>
        <x:v>9865.833333333334</x:v>
      </x:c>
    </x:row>
    <x:row r="14">
      <x:c r="A14" t="str">
        <x:v>Month 11</x:v>
      </x:c>
      <x:c r="B14" t="n">
        <x:v>5</x:v>
      </x:c>
      <x:c r="C14" t="str">
        <x:v>Corporate and holidays</x:v>
      </x:c>
      <x:c r="D14" s="26" t="n">
        <x:f>B14*4.33</x:f>
        <x:v>21.65</x:v>
      </x:c>
      <x:c r="E14" s="12" t="n">
        <x:f>D14*Inputs!$B$9</x:f>
        <x:v>12990</x:v>
      </x:c>
      <x:c r="F14" s="12" t="n">
        <x:f>D14*(Inputs!$B$9-Inputs!$B$10)</x:f>
        <x:v>11907.5</x:v>
      </x:c>
      <x:c r="G14" s="12" t="n">
        <x:f>F14-(Inputs!$B$8/12)</x:f>
        <x:v>9865.833333333334</x:v>
      </x:c>
    </x:row>
    <x:row r="15">
      <x:c r="A15" t="str">
        <x:v>Month 12</x:v>
      </x:c>
      <x:c r="B15" t="n">
        <x:v>4</x:v>
      </x:c>
      <x:c r="C15" t="str">
        <x:v>Winter gaming/movie emphasis</x:v>
      </x:c>
      <x:c r="D15" s="26" t="n">
        <x:f>B15*4.33</x:f>
        <x:v>17.32</x:v>
      </x:c>
      <x:c r="E15" s="12" t="n">
        <x:f>D15*Inputs!$B$9</x:f>
        <x:v>10392</x:v>
      </x:c>
      <x:c r="F15" s="12" t="n">
        <x:f>D15*(Inputs!$B$9-Inputs!$B$10)</x:f>
        <x:v>9526</x:v>
      </x:c>
      <x:c r="G15" s="12" t="n">
        <x:f>F15-(Inputs!$B$8/12)</x:f>
        <x:v>7484.333333333333</x:v>
      </x:c>
    </x:row>
    <x:row r="16">
      <x:c r="A16" t="str">
        <x:v>Month 13</x:v>
      </x:c>
      <x:c r="B16" t="n">
        <x:v>5</x:v>
      </x:c>
      <x:c r="C16" t="str">
        <x:v>Stabilize</x:v>
      </x:c>
      <x:c r="D16" s="26" t="n">
        <x:f>B16*4.33</x:f>
        <x:v>21.65</x:v>
      </x:c>
      <x:c r="E16" s="12" t="n">
        <x:f>D16*Inputs!$B$9</x:f>
        <x:v>12990</x:v>
      </x:c>
      <x:c r="F16" s="12" t="n">
        <x:f>D16*(Inputs!$B$9-Inputs!$B$10)</x:f>
        <x:v>11907.5</x:v>
      </x:c>
      <x:c r="G16" s="12" t="n">
        <x:f>F16-(Inputs!$B$8/12)</x:f>
        <x:v>9865.833333333334</x:v>
      </x:c>
    </x:row>
    <x:row r="17">
      <x:c r="A17" t="str">
        <x:v>Month 14</x:v>
      </x:c>
      <x:c r="B17" t="n">
        <x:v>5</x:v>
      </x:c>
      <x:c r="C17" t="str">
        <x:v>Stabilize</x:v>
      </x:c>
      <x:c r="D17" s="26" t="n">
        <x:f>B17*4.33</x:f>
        <x:v>21.65</x:v>
      </x:c>
      <x:c r="E17" s="12" t="n">
        <x:f>D17*Inputs!$B$9</x:f>
        <x:v>12990</x:v>
      </x:c>
      <x:c r="F17" s="12" t="n">
        <x:f>D17*(Inputs!$B$9-Inputs!$B$10)</x:f>
        <x:v>11907.5</x:v>
      </x:c>
      <x:c r="G17" s="12" t="n">
        <x:f>F17-(Inputs!$B$8/12)</x:f>
        <x:v>9865.833333333334</x:v>
      </x:c>
    </x:row>
    <x:row r="18">
      <x:c r="A18" t="str">
        <x:v>Month 15</x:v>
      </x:c>
      <x:c r="B18" t="n">
        <x:v>6</x:v>
      </x:c>
      <x:c r="C18" t="str">
        <x:v>Spring events</x:v>
      </x:c>
      <x:c r="D18" s="26" t="n">
        <x:f>B18*4.33</x:f>
        <x:v>25.98</x:v>
      </x:c>
      <x:c r="E18" s="12" t="n">
        <x:f>D18*Inputs!$B$9</x:f>
        <x:v>15588</x:v>
      </x:c>
      <x:c r="F18" s="12" t="n">
        <x:f>D18*(Inputs!$B$9-Inputs!$B$10)</x:f>
        <x:v>14289</x:v>
      </x:c>
      <x:c r="G18" s="12" t="n">
        <x:f>F18-(Inputs!$B$8/12)</x:f>
        <x:v>12247.333333333334</x:v>
      </x:c>
    </x:row>
    <x:row r="19">
      <x:c r="A19" t="str">
        <x:v>Month 16</x:v>
      </x:c>
      <x:c r="B19" t="n">
        <x:v>6</x:v>
      </x:c>
      <x:c r="C19" t="str">
        <x:v>Graduations</x:v>
      </x:c>
      <x:c r="D19" s="26" t="n">
        <x:f>B19*4.33</x:f>
        <x:v>25.98</x:v>
      </x:c>
      <x:c r="E19" s="12" t="n">
        <x:f>D19*Inputs!$B$9</x:f>
        <x:v>15588</x:v>
      </x:c>
      <x:c r="F19" s="12" t="n">
        <x:f>D19*(Inputs!$B$9-Inputs!$B$10)</x:f>
        <x:v>14289</x:v>
      </x:c>
      <x:c r="G19" s="12" t="n">
        <x:f>F19-(Inputs!$B$8/12)</x:f>
        <x:v>12247.333333333334</x:v>
      </x:c>
    </x:row>
    <x:row r="20">
      <x:c r="A20" t="str">
        <x:v>Month 17</x:v>
      </x:c>
      <x:c r="B20" t="n">
        <x:v>6</x:v>
      </x:c>
      <x:c r="C20" t="str">
        <x:v>Summer events</x:v>
      </x:c>
      <x:c r="D20" s="26" t="n">
        <x:f>B20*4.33</x:f>
        <x:v>25.98</x:v>
      </x:c>
      <x:c r="E20" s="12" t="n">
        <x:f>D20*Inputs!$B$9</x:f>
        <x:v>15588</x:v>
      </x:c>
      <x:c r="F20" s="12" t="n">
        <x:f>D20*(Inputs!$B$9-Inputs!$B$10)</x:f>
        <x:v>14289</x:v>
      </x:c>
      <x:c r="G20" s="12" t="n">
        <x:f>F20-(Inputs!$B$8/12)</x:f>
        <x:v>12247.333333333334</x:v>
      </x:c>
    </x:row>
    <x:row r="21">
      <x:c r="A21" t="str">
        <x:v>Month 18</x:v>
      </x:c>
      <x:c r="B21" t="n">
        <x:v>7</x:v>
      </x:c>
      <x:c r="C21" t="str">
        <x:v>Recurring accounts</x:v>
      </x:c>
      <x:c r="D21" s="26" t="n">
        <x:f>B21*4.33</x:f>
        <x:v>30.310000000000002</x:v>
      </x:c>
      <x:c r="E21" s="12" t="n">
        <x:f>D21*Inputs!$B$9</x:f>
        <x:v>18186</x:v>
      </x:c>
      <x:c r="F21" s="12" t="n">
        <x:f>D21*(Inputs!$B$9-Inputs!$B$10)</x:f>
        <x:v>16670.5</x:v>
      </x:c>
      <x:c r="G21" s="12" t="n">
        <x:f>F21-(Inputs!$B$8/12)</x:f>
        <x:v>14628.833333333334</x:v>
      </x:c>
    </x:row>
    <x:row r="22">
      <x:c r="A22" t="str">
        <x:v>Month 19</x:v>
      </x:c>
      <x:c r="B22" t="n">
        <x:v>7</x:v>
      </x:c>
      <x:c r="C22" t="str">
        <x:v>Recurring accounts</x:v>
      </x:c>
      <x:c r="D22" s="26" t="n">
        <x:f>B22*4.33</x:f>
        <x:v>30.310000000000002</x:v>
      </x:c>
      <x:c r="E22" s="12" t="n">
        <x:f>D22*Inputs!$B$9</x:f>
        <x:v>18186</x:v>
      </x:c>
      <x:c r="F22" s="12" t="n">
        <x:f>D22*(Inputs!$B$9-Inputs!$B$10)</x:f>
        <x:v>16670.5</x:v>
      </x:c>
      <x:c r="G22" s="12" t="n">
        <x:f>F22-(Inputs!$B$8/12)</x:f>
        <x:v>14628.833333333334</x:v>
      </x:c>
    </x:row>
    <x:row r="23">
      <x:c r="A23" t="str">
        <x:v>Month 20</x:v>
      </x:c>
      <x:c r="B23" t="n">
        <x:v>7</x:v>
      </x:c>
      <x:c r="C23" t="str">
        <x:v>Fall events</x:v>
      </x:c>
      <x:c r="D23" s="26" t="n">
        <x:f>B23*4.33</x:f>
        <x:v>30.310000000000002</x:v>
      </x:c>
      <x:c r="E23" s="12" t="n">
        <x:f>D23*Inputs!$B$9</x:f>
        <x:v>18186</x:v>
      </x:c>
      <x:c r="F23" s="12" t="n">
        <x:f>D23*(Inputs!$B$9-Inputs!$B$10)</x:f>
        <x:v>16670.5</x:v>
      </x:c>
      <x:c r="G23" s="12" t="n">
        <x:f>F23-(Inputs!$B$8/12)</x:f>
        <x:v>14628.833333333334</x:v>
      </x:c>
    </x:row>
    <x:row r="24">
      <x:c r="A24" t="str">
        <x:v>Month 21</x:v>
      </x:c>
      <x:c r="B24" t="n">
        <x:v>7</x:v>
      </x:c>
      <x:c r="C24" t="str">
        <x:v>Tailgates</x:v>
      </x:c>
      <x:c r="D24" s="26" t="n">
        <x:f>B24*4.33</x:f>
        <x:v>30.310000000000002</x:v>
      </x:c>
      <x:c r="E24" s="12" t="n">
        <x:f>D24*Inputs!$B$9</x:f>
        <x:v>18186</x:v>
      </x:c>
      <x:c r="F24" s="12" t="n">
        <x:f>D24*(Inputs!$B$9-Inputs!$B$10)</x:f>
        <x:v>16670.5</x:v>
      </x:c>
      <x:c r="G24" s="12" t="n">
        <x:f>F24-(Inputs!$B$8/12)</x:f>
        <x:v>14628.833333333334</x:v>
      </x:c>
    </x:row>
    <x:row r="25">
      <x:c r="A25" t="str">
        <x:v>Month 22</x:v>
      </x:c>
      <x:c r="B25" t="n">
        <x:v>6</x:v>
      </x:c>
      <x:c r="C25" t="str">
        <x:v>Holidays</x:v>
      </x:c>
      <x:c r="D25" s="26" t="n">
        <x:f>B25*4.33</x:f>
        <x:v>25.98</x:v>
      </x:c>
      <x:c r="E25" s="12" t="n">
        <x:f>D25*Inputs!$B$9</x:f>
        <x:v>15588</x:v>
      </x:c>
      <x:c r="F25" s="12" t="n">
        <x:f>D25*(Inputs!$B$9-Inputs!$B$10)</x:f>
        <x:v>14289</x:v>
      </x:c>
      <x:c r="G25" s="12" t="n">
        <x:f>F25-(Inputs!$B$8/12)</x:f>
        <x:v>12247.333333333334</x:v>
      </x:c>
    </x:row>
    <x:row r="26">
      <x:c r="A26" t="str">
        <x:v>Month 23</x:v>
      </x:c>
      <x:c r="B26" t="n">
        <x:v>6</x:v>
      </x:c>
      <x:c r="C26" t="str">
        <x:v>Winter events</x:v>
      </x:c>
      <x:c r="D26" s="26" t="n">
        <x:f>B26*4.33</x:f>
        <x:v>25.98</x:v>
      </x:c>
      <x:c r="E26" s="12" t="n">
        <x:f>D26*Inputs!$B$9</x:f>
        <x:v>15588</x:v>
      </x:c>
      <x:c r="F26" s="12" t="n">
        <x:f>D26*(Inputs!$B$9-Inputs!$B$10)</x:f>
        <x:v>14289</x:v>
      </x:c>
      <x:c r="G26" s="12" t="n">
        <x:f>F26-(Inputs!$B$8/12)</x:f>
        <x:v>12247.333333333334</x:v>
      </x:c>
    </x:row>
    <x:row r="27">
      <x:c r="A27" t="str">
        <x:v>Month 24</x:v>
      </x:c>
      <x:c r="B27" t="n">
        <x:v>6</x:v>
      </x:c>
      <x:c r="C27" t="str">
        <x:v>Steady state</x:v>
      </x:c>
      <x:c r="D27" s="26" t="n">
        <x:f>B27*4.33</x:f>
        <x:v>25.98</x:v>
      </x:c>
      <x:c r="E27" s="12" t="n">
        <x:f>D27*Inputs!$B$9</x:f>
        <x:v>15588</x:v>
      </x:c>
      <x:c r="F27" s="12" t="n">
        <x:f>D27*(Inputs!$B$9-Inputs!$B$10)</x:f>
        <x:v>14289</x:v>
      </x:c>
      <x:c r="G27" s="12" t="n">
        <x:f>F27-(Inputs!$B$8/12)</x:f>
        <x:v>12247.333333333334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43000030517578" hidden="0" customWidth="1"/>
    <x:col min="2" max="2" width="87.86000061035156" hidden="0" customWidth="1"/>
  </x:cols>
  <x:sheetData>
    <x:row r="1">
      <x:c r="A1" s="6" t="str">
        <x:v>Sources And Notes</x:v>
      </x:c>
    </x:row>
    <x:row r="3">
      <x:c r="A3" s="10" t="str">
        <x:v>Source</x:v>
      </x:c>
      <x:c r="B3" s="10" t="str">
        <x:v>URL / Note</x:v>
      </x:c>
    </x:row>
    <x:row r="4">
      <x:c r="A4" t="str">
        <x:v>Business plan</x:v>
      </x:c>
      <x:c r="B4" t="str">
        <x:v>Mobile_Entertainment_Business_Plan.docx</x:v>
      </x:c>
    </x:row>
    <x:row r="5">
      <x:c r="A5" t="str">
        <x:v>GameTruck Dayton pricing page</x:v>
      </x:c>
      <x:c r="B5" t="str">
        <x:v>https://www.gametruckparty.com/dayton/birthday-party-pricing</x:v>
      </x:c>
    </x:row>
    <x:row r="6">
      <x:c r="A6" t="str">
        <x:v>Yankee Trace simulators</x:v>
      </x:c>
      <x:c r="B6" t="str">
        <x:v>https://www.yankeetrace.org/golf/simulators</x:v>
      </x:c>
    </x:row>
    <x:row r="7">
      <x:c r="A7" t="str">
        <x:v>SGN pricing</x:v>
      </x:c>
      <x:c r="B7" t="str">
        <x:v>https://www.sgngolf.com/pricing</x:v>
      </x:c>
    </x:row>
    <x:row r="8">
      <x:c r="A8" t="str">
        <x:v>Shop Indoor Golf SkyTrak ST MAX</x:v>
      </x:c>
      <x:c r="B8" t="str">
        <x:v>https://shopindoorgolf.com/products/skytrak-plus-launch-monitor</x:v>
      </x:c>
    </x:row>
    <x:row r="9">
      <x:c r="A9" t="str">
        <x:v>Shop Indoor Golf Uneekor EYE MINI Lite</x:v>
      </x:c>
      <x:c r="B9" t="str">
        <x:v>https://shopindoorgolf.com/products/uneekor-eye-mini-lite-launch-monitor</x:v>
      </x:c>
    </x:row>
    <x:row r="10">
      <x:c r="A10" t="str">
        <x:v>Mad Jumpz movie bundle</x:v>
      </x:c>
      <x:c r="B10" t="str">
        <x:v>https://madjumpz.com/rentals/equipment/10ft-movie-game-night-bundle/</x:v>
      </x:c>
    </x:row>
    <x:row r="11">
      <x:c r="A11" t="str">
        <x:v>A&amp;S Party Rentals movie screen</x:v>
      </x:c>
      <x:c r="B11" t="str">
        <x:v>https://www.aspartyrentalsoh.com/product/inflatable-movie-screen/</x:v>
      </x:c>
    </x:row>
    <x:row r="12">
      <x:c r="A12" t="str">
        <x:v>Dayton climate and employers</x:v>
      </x:c>
      <x:c r="B12" t="str">
        <x:v>https://en.wikipedia.org/wiki/Dayton%2C_Ohio</x:v>
      </x:c>
    </x:row>
  </x:sheetData>
  <x:mergeCells>
    <x:mergeCell ref="A1:B1"/>
  </x:mergeCells>
  <x:pageMargins left="0.7" right="0.7" top="0.75" bottom="0.75" header="0.3" footer="0.3"/>
</x:worksheet>
</file>